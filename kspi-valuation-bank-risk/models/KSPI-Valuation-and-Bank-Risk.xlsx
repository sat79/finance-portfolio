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8656554b6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cc50ff4f9d4cc5"/>
    <x:sheet xmlns:r="http://schemas.openxmlformats.org/officeDocument/2006/relationships" name="Assumptions" sheetId="2" r:id="R8840384898fc4160"/>
    <x:sheet xmlns:r="http://schemas.openxmlformats.org/officeDocument/2006/relationships" name="Valuation" sheetId="3" r:id="Rf7e8f70a24c2460c"/>
    <x:sheet xmlns:r="http://schemas.openxmlformats.org/officeDocument/2006/relationships" name="Risk" sheetId="4" r:id="R098456604962416d"/>
    <x:sheet xmlns:r="http://schemas.openxmlformats.org/officeDocument/2006/relationships" name="Sources" sheetId="5" r:id="R89717c617857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–&quot;"/>
    <x:numFmt numFmtId="201" formatCode="0.0%"/>
    <x:numFmt numFmtId="202" formatCode="0.00;(0.00);0.00"/>
  </x:numFmts>
  <x:fonts count="8">
    <x:font>
      <x:sz val="11"/>
      <x:name val="Carlito"/>
    </x:font>
    <x:font>
      <x:sz val="11"/>
      <x:color rgb="FF15243A"/>
      <x:name val="Arial"/>
    </x:font>
    <x:font>
      <x:sz val="16"/>
      <x:color rgb="FF15243A"/>
      <x:name val="Arial"/>
    </x:font>
    <x:font>
      <x:b/>
      <x:sz val="16"/>
      <x:color rgb="FF15243A"/>
      <x:name val="Arial"/>
    </x:font>
    <x:font>
      <x:sz val="11"/>
      <x:color rgb="FF1459AF"/>
      <x:name val="Arial"/>
    </x:font>
    <x:font>
      <x:b/>
      <x:sz val="11"/>
      <x:color rgb="FF15243A"/>
      <x:name val="Arial"/>
    </x:font>
    <x:font>
      <x:sz val="11"/>
      <x:color rgb="FF167349"/>
      <x:name val="Arial"/>
    </x:font>
    <x:font>
      <x:sz val="10"/>
      <x:color rgb="FF52647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6" fillId="0" borderId="0" xfId="0" applyNumberFormat="1" applyFont="1" applyFill="1" applyBorder="1"/>
    <x:xf numFmtId="0" fontId="4" fillId="0" borderId="0" xfId="0" applyNumberFormat="1" applyFont="1" applyFill="1" applyBorder="1"/>
    <x:xf numFmtId="202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dd5cce6694918" /><Relationship Type="http://schemas.openxmlformats.org/officeDocument/2006/relationships/theme" Target="/xl/theme/theme1.xml" Id="Rba7aa9b4793748c5" /><Relationship Type="http://schemas.openxmlformats.org/officeDocument/2006/relationships/sharedStrings" Target="/xl/sharedStrings.xml" Id="R7b63279d475f4ed1" /><Relationship Type="http://schemas.openxmlformats.org/officeDocument/2006/relationships/worksheet" Target="/xl/worksheets/sheet1.xml" Id="Rbccc50ff4f9d4cc5" /><Relationship Type="http://schemas.openxmlformats.org/officeDocument/2006/relationships/worksheet" Target="/xl/worksheets/sheet2.xml" Id="R8840384898fc4160" /><Relationship Type="http://schemas.openxmlformats.org/officeDocument/2006/relationships/worksheet" Target="/xl/worksheets/sheet3.xml" Id="Rf7e8f70a24c2460c" /><Relationship Type="http://schemas.openxmlformats.org/officeDocument/2006/relationships/worksheet" Target="/xl/worksheets/sheet4.xml" Id="R098456604962416d" /><Relationship Type="http://schemas.openxmlformats.org/officeDocument/2006/relationships/worksheet" Target="/xl/worksheets/sheet5.xml" Id="R89717c6178574958" /></Relationships>
</file>

<file path=xl/theme/theme1.xml><?xml version="1.0" encoding="utf-8"?>
<a:theme xmlns:a="http://schemas.openxmlformats.org/drawingml/2006/main" name="Satvik Sahni Finance">
  <a:themeElements>
    <a:clrScheme name="Satvik Sahni Finan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atvik Sahni Finan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90" hidden="0" customWidth="1"/>
  </x:cols>
  <x:sheetData>
    <x:row r="1" ht="23" customHeight="1">
      <x:c r="A1" s="1"/>
      <x:c r="B1" s="1"/>
      <x:c r="C1" s="1"/>
      <x:c r="D1" s="2"/>
      <x:c r="E1" s="2"/>
      <x:c r="F1" s="2"/>
      <x:c r="G1" s="2"/>
      <x:c r="H1" s="2"/>
      <x:c r="I1" s="1"/>
      <x:c r="J1" s="1"/>
    </x:row>
    <x:row r="2" ht="23" customHeight="1">
      <x:c r="A2" s="1"/>
      <x:c r="B2" s="1"/>
      <x:c r="C2" s="5" t="str">
        <x:v>Kaspi.kz | Summary</x:v>
      </x:c>
      <x:c r="D2" s="6"/>
      <x:c r="E2" s="6"/>
      <x:c r="F2" s="6"/>
      <x:c r="G2" s="6"/>
      <x:c r="H2" s="6"/>
      <x:c r="I2" s="1"/>
      <x:c r="J2" s="1"/>
    </x:row>
    <x:row r="3" ht="23" customHeight="1">
      <x:c r="A3" s="1"/>
      <x:c r="B3" s="1"/>
      <x:c r="C3" s="1"/>
      <x:c r="D3" s="2"/>
      <x:c r="E3" s="2"/>
      <x:c r="F3" s="2"/>
      <x:c r="G3" s="2"/>
      <x:c r="H3" s="2"/>
      <x:c r="I3" s="1"/>
      <x:c r="J3" s="1"/>
    </x:row>
    <x:row r="4" ht="23" customHeight="1">
      <x:c r="A4" s="1"/>
      <x:c r="B4" s="1"/>
      <x:c r="C4" s="1" t="str">
        <x:v>Case selected</x:v>
      </x:c>
      <x:c r="D4" s="14" t="str">
        <x:f>Assumptions!D4</x:f>
        <x:v>Base</x:v>
      </x:c>
      <x:c r="E4" s="2"/>
      <x:c r="F4" s="2"/>
      <x:c r="G4" s="2"/>
      <x:c r="H4" s="2"/>
      <x:c r="I4" s="1"/>
      <x:c r="J4" s="1"/>
    </x:row>
    <x:row r="5" ht="23" customHeight="1">
      <x:c r="A5" s="1"/>
      <x:c r="B5" s="1"/>
      <x:c r="C5" s="1"/>
      <x:c r="D5" s="2"/>
      <x:c r="E5" s="2"/>
      <x:c r="F5" s="2"/>
      <x:c r="G5" s="2"/>
      <x:c r="H5" s="2"/>
      <x:c r="I5" s="1"/>
      <x:c r="J5" s="1"/>
    </x:row>
    <x:row r="6" ht="23" customHeight="1">
      <x:c r="A6" s="1"/>
      <x:c r="B6" s="1"/>
      <x:c r="C6" s="1" t="str">
        <x:v>Dividend model value / ADS (USD)</x:v>
      </x:c>
      <x:c r="D6" s="2" t="n">
        <x:f>Valuation!D22</x:f>
        <x:v>73.10726731154458</x:v>
      </x:c>
      <x:c r="E6" s="2"/>
      <x:c r="F6" s="2"/>
      <x:c r="G6" s="2"/>
      <x:c r="H6" s="2"/>
      <x:c r="I6" s="1"/>
      <x:c r="J6" s="1"/>
    </x:row>
    <x:row r="7" ht="23" customHeight="1">
      <x:c r="A7" s="1"/>
      <x:c r="B7" s="1"/>
      <x:c r="C7" s="1" t="str">
        <x:v>Earnings multiple cross-check (USD)</x:v>
      </x:c>
      <x:c r="D7" s="2" t="n">
        <x:f>Valuation!D29</x:f>
        <x:v>116.3255117324014</x:v>
      </x:c>
      <x:c r="E7" s="2"/>
      <x:c r="F7" s="2"/>
      <x:c r="G7" s="2"/>
      <x:c r="H7" s="2"/>
      <x:c r="I7" s="1"/>
      <x:c r="J7" s="1"/>
    </x:row>
    <x:row r="8" ht="23" customHeight="1">
      <x:c r="A8" s="1"/>
      <x:c r="B8" s="1"/>
      <x:c r="C8" s="1" t="str">
        <x:v>Cost of equity (USD)</x:v>
      </x:c>
      <x:c r="D8" s="15" t="n">
        <x:f>Assumptions!D12</x:f>
        <x:v>0.1355</x:v>
      </x:c>
      <x:c r="E8" s="2"/>
      <x:c r="F8" s="2"/>
      <x:c r="G8" s="2"/>
      <x:c r="H8" s="2"/>
      <x:c r="I8" s="1"/>
      <x:c r="J8" s="1"/>
    </x:row>
    <x:row r="9" ht="23" customHeight="1">
      <x:c r="A9" s="1"/>
      <x:c r="B9" s="1"/>
      <x:c r="C9" s="1" t="str">
        <x:v>Terminal share of dividend value</x:v>
      </x:c>
      <x:c r="D9" s="15" t="n">
        <x:f>Valuation!D23</x:f>
        <x:v>0.5615741814280909</x:v>
      </x:c>
      <x:c r="E9" s="2"/>
      <x:c r="F9" s="2"/>
      <x:c r="G9" s="2"/>
      <x:c r="H9" s="2"/>
      <x:c r="I9" s="1"/>
      <x:c r="J9" s="1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1"/>
      <x:c r="J10" s="1"/>
    </x:row>
    <x:row r="11" ht="23" customHeight="1">
      <x:c r="A11" s="1"/>
      <x:c r="B11" s="1"/>
      <x:c r="C11" s="1"/>
      <x:c r="D11" s="2"/>
      <x:c r="E11" s="2"/>
      <x:c r="F11" s="2"/>
      <x:c r="G11" s="2"/>
      <x:c r="H11" s="2"/>
      <x:c r="I11" s="1"/>
      <x:c r="J11" s="1"/>
    </x:row>
    <x:row r="12" ht="23" customHeight="1">
      <x:c r="A12" s="1"/>
      <x:c r="B12" s="1"/>
      <x:c r="C12" s="1" t="str">
        <x:v>Independent portfolio study, 11 September 2026</x:v>
      </x:c>
      <x:c r="D12" s="2"/>
      <x:c r="E12" s="2"/>
      <x:c r="F12" s="2"/>
      <x:c r="G12" s="2"/>
      <x:c r="H12" s="2"/>
      <x:c r="I12" s="1"/>
      <x:c r="J12" s="1"/>
    </x:row>
    <x:row r="13" ht="23" customHeight="1">
      <x:c r="A13" s="1"/>
      <x:c r="B13" s="1"/>
      <x:c r="C13" s="1"/>
      <x:c r="D13" s="2"/>
      <x:c r="E13" s="2"/>
      <x:c r="F13" s="2"/>
      <x:c r="G13" s="2"/>
      <x:c r="H13" s="2"/>
      <x:c r="I13" s="1"/>
      <x:c r="J13" s="1"/>
    </x:row>
    <x:row r="14" ht="23" customHeight="1">
      <x:c r="A14" s="1"/>
      <x:c r="B14" s="1"/>
      <x:c r="C14" s="1" t="str">
        <x:v>Growth in local currency must survive FX translation to benefit ADS holders.</x:v>
      </x:c>
      <x:c r="D14" s="2"/>
      <x:c r="E14" s="2"/>
      <x:c r="F14" s="2"/>
      <x:c r="G14" s="2"/>
      <x:c r="H14" s="2"/>
      <x:c r="I14" s="1"/>
      <x:c r="J14" s="1"/>
    </x:row>
    <x:row r="15" ht="23" customHeight="1">
      <x:c r="A15" s="1"/>
      <x:c r="B15" s="1"/>
      <x:c r="C15" s="1"/>
      <x:c r="D15" s="2"/>
      <x:c r="E15" s="2"/>
      <x:c r="F15" s="2"/>
      <x:c r="G15" s="2"/>
      <x:c r="H15" s="2"/>
      <x:c r="I15" s="1"/>
      <x:c r="J15" s="1"/>
    </x:row>
    <x:row r="16" ht="23" customHeight="1">
      <x:c r="A16" s="1"/>
      <x:c r="B16" s="1"/>
      <x:c r="C16" s="1" t="str">
        <x:v>Distribution policy and required return drive the dividend valuation.</x:v>
      </x:c>
      <x:c r="D16" s="2"/>
      <x:c r="E16" s="2"/>
      <x:c r="F16" s="2"/>
      <x:c r="G16" s="2"/>
      <x:c r="H16" s="2"/>
      <x:c r="I16" s="1"/>
      <x:c r="J16" s="1"/>
    </x:row>
    <x:row r="17" ht="23" customHeight="1">
      <x:c r="A17" s="1"/>
      <x:c r="B17" s="1"/>
      <x:c r="C17" s="1"/>
      <x:c r="D17" s="2"/>
      <x:c r="E17" s="2"/>
      <x:c r="F17" s="2"/>
      <x:c r="G17" s="2"/>
      <x:c r="H17" s="2"/>
      <x:c r="I17" s="1"/>
      <x:c r="J17" s="1"/>
    </x:row>
    <x:row r="18" ht="23" customHeight="1">
      <x:c r="A18" s="1"/>
      <x:c r="B18" s="1"/>
      <x:c r="C18" s="1" t="str">
        <x:v>A funding-cost or credit-loss shock can erode otherwise attractive growth.</x:v>
      </x:c>
      <x:c r="D18" s="2"/>
      <x:c r="E18" s="2"/>
      <x:c r="F18" s="2"/>
      <x:c r="G18" s="2"/>
      <x:c r="H18" s="2"/>
      <x:c r="I18" s="1"/>
      <x:c r="J18" s="1"/>
    </x:row>
    <x:row r="19" ht="23" customHeight="1">
      <x:c r="A19" s="1"/>
      <x:c r="B19" s="1"/>
      <x:c r="C19" s="1"/>
      <x:c r="D19" s="2"/>
      <x:c r="E19" s="2"/>
      <x:c r="F19" s="2"/>
      <x:c r="G19" s="2"/>
      <x:c r="H19" s="2"/>
      <x:c r="I19" s="1"/>
      <x:c r="J19" s="1"/>
    </x:row>
    <x:row r="20" ht="23" customHeight="1">
      <x:c r="A20" s="1"/>
      <x:c r="B20" s="1"/>
      <x:c r="C20" s="1"/>
      <x:c r="D20" s="2"/>
      <x:c r="E20" s="2"/>
      <x:c r="F20" s="2"/>
      <x:c r="G20" s="2"/>
      <x:c r="H20" s="2"/>
      <x:c r="I20" s="1"/>
      <x:c r="J20" s="1"/>
    </x:row>
    <x:row r="21" ht="23" customHeight="1">
      <x:c r="A21" s="1"/>
      <x:c r="B21" s="1"/>
      <x:c r="C21" s="1" t="str">
        <x:v>This is an assumption-led valuation, not a current target price.</x:v>
      </x:c>
      <x:c r="D21" s="2"/>
      <x:c r="E21" s="2"/>
      <x:c r="F21" s="2"/>
      <x:c r="G21" s="2"/>
      <x:c r="H21" s="2"/>
      <x:c r="I21" s="1"/>
      <x:c r="J21" s="1"/>
    </x:row>
    <x:row r="22" ht="23" customHeight="1">
      <x:c r="A22" s="1"/>
      <x:c r="B22" s="1"/>
      <x:c r="C22" s="1"/>
      <x:c r="D22" s="2"/>
      <x:c r="E22" s="2"/>
      <x:c r="F22" s="2"/>
      <x:c r="G22" s="2"/>
      <x:c r="H22" s="2"/>
      <x:c r="I22" s="1"/>
      <x:c r="J22" s="1"/>
    </x:row>
    <x:row r="23" ht="23" customHeight="1">
      <x:c r="A23" s="1"/>
      <x:c r="B23" s="1"/>
      <x:c r="C23" s="1" t="str">
        <x:v>No live market price; no upside percentage or investment rating is claimed.</x:v>
      </x:c>
      <x:c r="D23" s="2"/>
      <x:c r="E23" s="2"/>
      <x:c r="F23" s="2"/>
      <x:c r="G23" s="2"/>
      <x:c r="H23" s="2"/>
      <x:c r="I23" s="1"/>
      <x:c r="J23" s="1"/>
    </x:row>
    <x:row r="24" ht="23" customHeight="1">
      <x:c r="A24" s="1"/>
      <x:c r="B24" s="1"/>
      <x:c r="C24" s="1"/>
      <x:c r="D24" s="2"/>
      <x:c r="E24" s="2"/>
      <x:c r="F24" s="2"/>
      <x:c r="G24" s="2"/>
      <x:c r="H24" s="2"/>
      <x:c r="I24" s="1"/>
      <x:c r="J24" s="1"/>
    </x:row>
    <x:row r="25" ht="23" customHeight="1">
      <x:c r="A25" s="1"/>
      <x:c r="B25" s="1"/>
      <x:c r="C25" s="1" t="str">
        <x:v>AI-assisted research and implementation; assumptions require analyst review.</x:v>
      </x:c>
      <x:c r="D25" s="2"/>
      <x:c r="E25" s="2"/>
      <x:c r="F25" s="2"/>
      <x:c r="G25" s="2"/>
      <x:c r="H25" s="2"/>
      <x:c r="I25" s="1"/>
      <x:c r="J25" s="1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1"/>
      <x:c r="J26" s="1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1"/>
      <x:c r="J27" s="1"/>
    </x:row>
    <x:row r="28" ht="23" customHeight="1">
      <x:c r="A28" s="1"/>
      <x:c r="B28" s="1"/>
      <x:c r="C28" s="1"/>
      <x:c r="D28" s="2"/>
      <x:c r="E28" s="2"/>
      <x:c r="F28" s="2"/>
      <x:c r="G28" s="2"/>
      <x:c r="H28" s="2"/>
      <x:c r="I28" s="1"/>
      <x:c r="J28" s="1"/>
    </x:row>
    <x:row r="29" ht="23" customHeight="1">
      <x:c r="A29" s="1"/>
      <x:c r="B29" s="1"/>
      <x:c r="C29" s="1"/>
      <x:c r="D29" s="2"/>
      <x:c r="E29" s="2"/>
      <x:c r="F29" s="2"/>
      <x:c r="G29" s="2"/>
      <x:c r="H29" s="2"/>
      <x:c r="I29" s="1"/>
      <x:c r="J29" s="1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1"/>
      <x:c r="J30" s="1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1"/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1"/>
      <x:c r="J32" s="1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1"/>
      <x:c r="J33" s="1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1"/>
      <x:c r="J34" s="1"/>
    </x:row>
    <x:row r="35" ht="23" customHeight="1">
      <x:c r="A35" s="1"/>
      <x:c r="B35" s="1"/>
      <x:c r="C35" s="1"/>
      <x:c r="D35" s="2"/>
      <x:c r="E35" s="2"/>
      <x:c r="F35" s="2"/>
      <x:c r="G35" s="2"/>
      <x:c r="H35" s="2"/>
      <x:c r="I35" s="1"/>
      <x:c r="J35" s="1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1"/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1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1"/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1"/>
      <x:c r="J39" s="1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1"/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1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1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1"/>
      <x:c r="J43" s="1"/>
    </x:row>
    <x:row r="44" ht="23" customHeight="1">
      <x:c r="A44" s="1"/>
      <x:c r="B44" s="1"/>
      <x:c r="C44" s="1"/>
      <x:c r="D44" s="2"/>
      <x:c r="E44" s="2"/>
      <x:c r="F44" s="2"/>
      <x:c r="G44" s="2"/>
      <x:c r="H44" s="2"/>
      <x:c r="I44" s="1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1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1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1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1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1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1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1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1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1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1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1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1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1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1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1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1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1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1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1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1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1"/>
      <x:c r="J6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90" hidden="0" customWidth="1"/>
  </x:cols>
  <x:sheetData>
    <x:row r="1" ht="23" customHeight="1">
      <x:c r="A1" s="1"/>
      <x:c r="B1" s="1"/>
      <x:c r="C1" s="1"/>
      <x:c r="D1" s="2"/>
      <x:c r="E1" s="2"/>
      <x:c r="F1" s="2"/>
      <x:c r="G1" s="2"/>
      <x:c r="H1" s="2"/>
      <x:c r="I1" s="1"/>
      <x:c r="J1" s="1"/>
    </x:row>
    <x:row r="2" ht="23" customHeight="1">
      <x:c r="A2" s="1"/>
      <x:c r="B2" s="1"/>
      <x:c r="C2" s="5" t="str">
        <x:v>Kaspi.kz | Assumptions</x:v>
      </x:c>
      <x:c r="D2" s="6"/>
      <x:c r="E2" s="6"/>
      <x:c r="F2" s="6"/>
      <x:c r="G2" s="6"/>
      <x:c r="H2" s="6"/>
      <x:c r="I2" s="1"/>
      <x:c r="J2" s="1"/>
    </x:row>
    <x:row r="3" ht="23" customHeight="1">
      <x:c r="A3" s="1"/>
      <x:c r="B3" s="1"/>
      <x:c r="C3" s="1"/>
      <x:c r="D3" s="2"/>
      <x:c r="E3" s="2"/>
      <x:c r="F3" s="2"/>
      <x:c r="G3" s="2"/>
      <x:c r="H3" s="2"/>
      <x:c r="I3" s="1"/>
      <x:c r="J3" s="1"/>
    </x:row>
    <x:row r="4" ht="23" customHeight="1">
      <x:c r="A4" s="1"/>
      <x:c r="B4" s="1"/>
      <x:c r="C4" s="1" t="str">
        <x:v>Case selected</x:v>
      </x:c>
      <x:c r="D4" s="9" t="str">
        <x:v>Base</x:v>
      </x:c>
      <x:c r="E4" s="2"/>
      <x:c r="F4" s="2"/>
      <x:c r="G4" s="2"/>
      <x:c r="H4" s="2"/>
      <x:c r="I4" s="1"/>
      <x:c r="J4" s="1"/>
    </x:row>
    <x:row r="5" ht="23" customHeight="1">
      <x:c r="A5" s="1"/>
      <x:c r="B5" s="1"/>
      <x:c r="C5" s="1"/>
      <x:c r="D5" s="2"/>
      <x:c r="E5" s="2"/>
      <x:c r="F5" s="2"/>
      <x:c r="G5" s="2"/>
      <x:c r="H5" s="2"/>
      <x:c r="I5" s="1"/>
      <x:c r="J5" s="1"/>
    </x:row>
    <x:row r="6" ht="23" customHeight="1">
      <x:c r="A6" s="1"/>
      <x:c r="B6" s="1"/>
      <x:c r="C6" s="12" t="str">
        <x:v>Valuation conventions</x:v>
      </x:c>
      <x:c r="D6" s="13"/>
      <x:c r="E6" s="13"/>
      <x:c r="F6" s="13"/>
      <x:c r="G6" s="13"/>
      <x:c r="H6" s="13"/>
      <x:c r="I6" s="1"/>
      <x:c r="J6" s="1"/>
    </x:row>
    <x:row r="7" ht="23" customHeight="1">
      <x:c r="A7" s="1"/>
      <x:c r="B7" s="1"/>
      <x:c r="C7" s="1" t="str">
        <x:v>Valuation date</x:v>
      </x:c>
      <x:c r="D7" s="2" t="str">
        <x:v>11 Sep 2026</x:v>
      </x:c>
      <x:c r="E7" s="2"/>
      <x:c r="F7" s="2"/>
      <x:c r="G7" s="2"/>
      <x:c r="H7" s="2"/>
      <x:c r="I7" s="1"/>
      <x:c r="J7" s="1"/>
    </x:row>
    <x:row r="8" ht="23" customHeight="1">
      <x:c r="A8" s="1"/>
      <x:c r="B8" s="1"/>
      <x:c r="C8" s="1" t="str">
        <x:v>Risk-free rate (USD)</x:v>
      </x:c>
      <x:c r="D8" s="8" t="n">
        <x:v>0.04</x:v>
      </x:c>
      <x:c r="E8" s="2"/>
      <x:c r="F8" s="2"/>
      <x:c r="G8" s="2"/>
      <x:c r="H8" s="2"/>
      <x:c r="I8" s="1"/>
      <x:c r="J8" s="1" t="str">
        <x:v>Illustrative USD CAPM inputs; not measured market observations.</x:v>
      </x:c>
    </x:row>
    <x:row r="9" ht="23" customHeight="1">
      <x:c r="A9" s="1"/>
      <x:c r="B9" s="1"/>
      <x:c r="C9" s="1" t="str">
        <x:v>Equity beta</x:v>
      </x:c>
      <x:c r="D9" s="7" t="n">
        <x:v>1.1</x:v>
      </x:c>
      <x:c r="E9" s="2"/>
      <x:c r="F9" s="2"/>
      <x:c r="G9" s="2"/>
      <x:c r="H9" s="2"/>
      <x:c r="I9" s="1"/>
      <x:c r="J9" s="1"/>
    </x:row>
    <x:row r="10" ht="23" customHeight="1">
      <x:c r="A10" s="1"/>
      <x:c r="B10" s="1"/>
      <x:c r="C10" s="1" t="str">
        <x:v>Equity risk premium</x:v>
      </x:c>
      <x:c r="D10" s="8" t="n">
        <x:v>0.055</x:v>
      </x:c>
      <x:c r="E10" s="2"/>
      <x:c r="F10" s="2"/>
      <x:c r="G10" s="2"/>
      <x:c r="H10" s="2"/>
      <x:c r="I10" s="1"/>
      <x:c r="J10" s="1"/>
    </x:row>
    <x:row r="11" ht="23" customHeight="1">
      <x:c r="A11" s="1"/>
      <x:c r="B11" s="1"/>
      <x:c r="C11" s="1" t="str">
        <x:v>Additional country / model premium</x:v>
      </x:c>
      <x:c r="D11" s="8" t="n">
        <x:v>0.035</x:v>
      </x:c>
      <x:c r="E11" s="2"/>
      <x:c r="F11" s="2"/>
      <x:c r="G11" s="2"/>
      <x:c r="H11" s="2"/>
      <x:c r="I11" s="1"/>
      <x:c r="J11" s="1" t="str">
        <x:v>Extra risk allowance may overlap with beta/ERP; review before relying on value.</x:v>
      </x:c>
    </x:row>
    <x:row r="12" ht="23" customHeight="1">
      <x:c r="A12" s="1"/>
      <x:c r="B12" s="1"/>
      <x:c r="C12" s="1" t="str">
        <x:v>Cost of equity (USD)</x:v>
      </x:c>
      <x:c r="D12" s="15" t="n">
        <x:f>IF(AND(COUNT(D8:D11)=4,MIN(D8:D11)&gt;=0,D8+D9*D10+D11&gt;0),D8+D9*D10+D11,NA())</x:f>
        <x:v>0.1355</x:v>
      </x:c>
      <x:c r="E12" s="2"/>
      <x:c r="F12" s="2"/>
      <x:c r="G12" s="2"/>
      <x:c r="H12" s="2"/>
      <x:c r="I12" s="1"/>
      <x:c r="J12" s="1"/>
    </x:row>
    <x:row r="13" ht="23" customHeight="1">
      <x:c r="A13" s="1"/>
      <x:c r="B13" s="1"/>
      <x:c r="C13" s="1" t="str">
        <x:v>Quarterly dividend assumption (KZT)</x:v>
      </x:c>
      <x:c r="D13" s="14" t="n">
        <x:f>IF(AND(ISNUMBER(Sources!D13),Sources!D13&gt;=0),Sources!D13,NA())</x:f>
        <x:v>1000</x:v>
      </x:c>
      <x:c r="E13" s="2"/>
      <x:c r="F13" s="2"/>
      <x:c r="G13" s="2"/>
      <x:c r="H13" s="2"/>
      <x:c r="I13" s="1"/>
      <x:c r="J13" s="1" t="str">
        <x:v>Uses proposed quarterly payout as an assumption, not a confirmed annual dividend.</x:v>
      </x:c>
    </x:row>
    <x:row r="14" ht="23" customHeight="1">
      <x:c r="A14" s="1"/>
      <x:c r="B14" s="1"/>
      <x:c r="C14" s="1" t="str">
        <x:v>Annual dividend base (KZT / ADS)</x:v>
      </x:c>
      <x:c r="D14" s="2" t="n">
        <x:f>D13*4</x:f>
        <x:v>4000</x:v>
      </x:c>
      <x:c r="E14" s="2"/>
      <x:c r="F14" s="2"/>
      <x:c r="G14" s="2"/>
      <x:c r="H14" s="2"/>
      <x:c r="I14" s="1"/>
      <x:c r="J14" s="1"/>
    </x:row>
    <x:row r="15" ht="23" customHeight="1">
      <x:c r="A15" s="1"/>
      <x:c r="B15" s="1"/>
      <x:c r="C15" s="1" t="str">
        <x:v>Spot FX reference (KZT / USD)</x:v>
      </x:c>
      <x:c r="D15" s="14" t="n">
        <x:f>IF(AND(ISNUMBER(Sources!D12),Sources!D12&gt;0),Sources!D12,NA())</x:f>
        <x:v>480.72</x:v>
      </x:c>
      <x:c r="E15" s="2"/>
      <x:c r="F15" s="2"/>
      <x:c r="G15" s="2"/>
      <x:c r="H15" s="2"/>
      <x:c r="I15" s="1"/>
      <x:c r="J15" s="1" t="str">
        <x:v>June reference FX; not a current spot quote.</x:v>
      </x:c>
    </x:row>
    <x:row r="16" ht="23" customHeight="1">
      <x:c r="A16" s="1"/>
      <x:c r="B16" s="1"/>
      <x:c r="C16" s="1" t="str">
        <x:v>Selected P/E cross-check</x:v>
      </x:c>
      <x:c r="D16" s="7" t="n">
        <x:v>10</x:v>
      </x:c>
      <x:c r="E16" s="2"/>
      <x:c r="F16" s="2"/>
      <x:c r="G16" s="2"/>
      <x:c r="H16" s="2"/>
      <x:c r="I16" s="1"/>
      <x:c r="J16" s="1" t="str">
        <x:v>Assumed earnings multiple, not a peer-derived market multiple.</x:v>
      </x:c>
    </x:row>
    <x:row r="17" ht="23" customHeight="1">
      <x:c r="A17" s="1"/>
      <x:c r="B17" s="1"/>
      <x:c r="C17" s="1" t="str">
        <x:v>Tax rate for stress analysis</x:v>
      </x:c>
      <x:c r="D17" s="8" t="n">
        <x:v>0.25</x:v>
      </x:c>
      <x:c r="E17" s="2"/>
      <x:c r="F17" s="2"/>
      <x:c r="G17" s="2"/>
      <x:c r="H17" s="2"/>
      <x:c r="I17" s="1"/>
      <x:c r="J17" s="1"/>
    </x:row>
    <x:row r="18" ht="23" customHeight="1">
      <x:c r="A18" s="1"/>
      <x:c r="B18" s="1"/>
      <x:c r="C18" s="1" t="str">
        <x:v>Funding shock (annual percentage pts)</x:v>
      </x:c>
      <x:c r="D18" s="8" t="n">
        <x:v>0.01</x:v>
      </x:c>
      <x:c r="E18" s="2"/>
      <x:c r="F18" s="2"/>
      <x:c r="G18" s="2"/>
      <x:c r="H18" s="2"/>
      <x:c r="I18" s="1"/>
      <x:c r="J18" s="1"/>
    </x:row>
    <x:row r="19" ht="23" customHeight="1">
      <x:c r="A19" s="1"/>
      <x:c r="B19" s="1"/>
      <x:c r="C19" s="1" t="str">
        <x:v>Credit-loss shock (annual pct pts)</x:v>
      </x:c>
      <x:c r="D19" s="8" t="n">
        <x:v>0.01</x:v>
      </x:c>
      <x:c r="E19" s="2"/>
      <x:c r="F19" s="2"/>
      <x:c r="G19" s="2"/>
      <x:c r="H19" s="2"/>
      <x:c r="I19" s="1"/>
      <x:c r="J19" s="1"/>
    </x:row>
    <x:row r="20" ht="23" customHeight="1">
      <x:c r="A20" s="1"/>
      <x:c r="B20" s="1"/>
      <x:c r="C20" s="1"/>
      <x:c r="D20" s="2"/>
      <x:c r="E20" s="2"/>
      <x:c r="F20" s="2"/>
      <x:c r="G20" s="2"/>
      <x:c r="H20" s="2"/>
      <x:c r="I20" s="1"/>
      <x:c r="J20" s="1"/>
    </x:row>
    <x:row r="21" ht="23" customHeight="1">
      <x:c r="A21" s="1"/>
      <x:c r="B21" s="1"/>
      <x:c r="C21" s="1"/>
      <x:c r="D21" s="2"/>
      <x:c r="E21" s="2"/>
      <x:c r="F21" s="2"/>
      <x:c r="G21" s="2"/>
      <x:c r="H21" s="2"/>
      <x:c r="I21" s="1"/>
      <x:c r="J21" s="1"/>
    </x:row>
    <x:row r="22" ht="23" customHeight="1">
      <x:c r="A22" s="1"/>
      <x:c r="B22" s="1"/>
      <x:c r="C22" s="1" t="str">
        <x:v>Forecast driver</x:v>
      </x:c>
      <x:c r="D22" s="2" t="str">
        <x:v>Year 1</x:v>
      </x:c>
      <x:c r="E22" s="2" t="str">
        <x:v>Year 2</x:v>
      </x:c>
      <x:c r="F22" s="2" t="str">
        <x:v>Year 3</x:v>
      </x:c>
      <x:c r="G22" s="2" t="str">
        <x:v>Year 4</x:v>
      </x:c>
      <x:c r="H22" s="2" t="str">
        <x:v>Year 5</x:v>
      </x:c>
      <x:c r="I22" s="1"/>
      <x:c r="J22" s="1"/>
    </x:row>
    <x:row r="23" ht="23" customHeight="1">
      <x:c r="A23" s="1"/>
      <x:c r="B23" s="1"/>
      <x:c r="C23" s="10" t="str">
        <x:v>Dividend growth in KZT — active</x:v>
      </x:c>
      <x:c r="D23" s="16" t="n">
        <x:f>IF($D$4="Base",IF(AND(ISNUMBER(D24),D24&gt;=-1),D24,NA()),IF($D$4="Downside",IF(AND(ISNUMBER(D25),D25&gt;=-1),D25,NA()),IF($D$4="Upside",IF(AND(ISNUMBER(D26),D26&gt;=-1),D26,NA()),NA())))</x:f>
        <x:v>0.1</x:v>
      </x:c>
      <x:c r="E23" s="16" t="n">
        <x:f>IF($D$4="Base",IF(AND(ISNUMBER(E24),E24&gt;=-1),E24,NA()),IF($D$4="Downside",IF(AND(ISNUMBER(E25),E25&gt;=-1),E25,NA()),IF($D$4="Upside",IF(AND(ISNUMBER(E26),E26&gt;=-1),E26,NA()),NA())))</x:f>
        <x:v>0.1</x:v>
      </x:c>
      <x:c r="F23" s="16" t="n">
        <x:f>IF($D$4="Base",IF(AND(ISNUMBER(F24),F24&gt;=-1),F24,NA()),IF($D$4="Downside",IF(AND(ISNUMBER(F25),F25&gt;=-1),F25,NA()),IF($D$4="Upside",IF(AND(ISNUMBER(F26),F26&gt;=-1),F26,NA()),NA())))</x:f>
        <x:v>0.08</x:v>
      </x:c>
      <x:c r="G23" s="16" t="n">
        <x:f>IF($D$4="Base",IF(AND(ISNUMBER(G24),G24&gt;=-1),G24,NA()),IF($D$4="Downside",IF(AND(ISNUMBER(G25),G25&gt;=-1),G25,NA()),IF($D$4="Upside",IF(AND(ISNUMBER(G26),G26&gt;=-1),G26,NA()),NA())))</x:f>
        <x:v>0.07</x:v>
      </x:c>
      <x:c r="H23" s="16" t="n">
        <x:f>IF($D$4="Base",IF(AND(ISNUMBER(H24),H24&gt;=-1),H24,NA()),IF($D$4="Downside",IF(AND(ISNUMBER(H25),H25&gt;=-1),H25,NA()),IF($D$4="Upside",IF(AND(ISNUMBER(H26),H26&gt;=-1),H26,NA()),NA())))</x:f>
        <x:v>0.06</x:v>
      </x:c>
      <x:c r="I23" s="1"/>
      <x:c r="J23" s="1"/>
    </x:row>
    <x:row r="24" ht="23" customHeight="1">
      <x:c r="A24" s="1"/>
      <x:c r="B24" s="1"/>
      <x:c r="C24" s="1" t="str">
        <x:v>Base</x:v>
      </x:c>
      <x:c r="D24" s="8" t="n">
        <x:v>0.1</x:v>
      </x:c>
      <x:c r="E24" s="8" t="n">
        <x:v>0.1</x:v>
      </x:c>
      <x:c r="F24" s="8" t="n">
        <x:v>0.08</x:v>
      </x:c>
      <x:c r="G24" s="8" t="n">
        <x:v>0.07</x:v>
      </x:c>
      <x:c r="H24" s="8" t="n">
        <x:v>0.06</x:v>
      </x:c>
      <x:c r="I24" s="1"/>
      <x:c r="J24" s="1"/>
    </x:row>
    <x:row r="25" ht="23" customHeight="1">
      <x:c r="A25" s="1"/>
      <x:c r="B25" s="1"/>
      <x:c r="C25" s="1" t="str">
        <x:v>Downside</x:v>
      </x:c>
      <x:c r="D25" s="8" t="n">
        <x:v>-0.1</x:v>
      </x:c>
      <x:c r="E25" s="8" t="n">
        <x:v>0</x:v>
      </x:c>
      <x:c r="F25" s="8" t="n">
        <x:v>0.03</x:v>
      </x:c>
      <x:c r="G25" s="8" t="n">
        <x:v>0.04</x:v>
      </x:c>
      <x:c r="H25" s="8" t="n">
        <x:v>0.04</x:v>
      </x:c>
      <x:c r="I25" s="1"/>
      <x:c r="J25" s="1"/>
    </x:row>
    <x:row r="26" ht="23" customHeight="1">
      <x:c r="A26" s="1"/>
      <x:c r="B26" s="1"/>
      <x:c r="C26" s="1" t="str">
        <x:v>Upside</x:v>
      </x:c>
      <x:c r="D26" s="8" t="n">
        <x:v>0.18</x:v>
      </x:c>
      <x:c r="E26" s="8" t="n">
        <x:v>0.15</x:v>
      </x:c>
      <x:c r="F26" s="8" t="n">
        <x:v>0.12</x:v>
      </x:c>
      <x:c r="G26" s="8" t="n">
        <x:v>0.1</x:v>
      </x:c>
      <x:c r="H26" s="8" t="n">
        <x:v>0.08</x:v>
      </x:c>
      <x:c r="I26" s="1"/>
      <x:c r="J26" s="1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1"/>
      <x:c r="J27" s="1"/>
    </x:row>
    <x:row r="28" ht="23" customHeight="1">
      <x:c r="A28" s="1"/>
      <x:c r="B28" s="1"/>
      <x:c r="C28" s="10" t="str">
        <x:v>KZT depreciation vs USD — active</x:v>
      </x:c>
      <x:c r="D28" s="16" t="n">
        <x:f>IF($D$4="Base",IF(AND(ISNUMBER(D29),D29&gt;-1),D29,NA()),IF($D$4="Downside",IF(AND(ISNUMBER(D30),D30&gt;-1),D30,NA()),IF($D$4="Upside",IF(AND(ISNUMBER(D31),D31&gt;-1),D31,NA()),NA())))</x:f>
        <x:v>0.05</x:v>
      </x:c>
      <x:c r="E28" s="16" t="n">
        <x:f>IF($D$4="Base",IF(AND(ISNUMBER(E29),E29&gt;-1),E29,NA()),IF($D$4="Downside",IF(AND(ISNUMBER(E30),E30&gt;-1),E30,NA()),IF($D$4="Upside",IF(AND(ISNUMBER(E31),E31&gt;-1),E31,NA()),NA())))</x:f>
        <x:v>0.05</x:v>
      </x:c>
      <x:c r="F28" s="16" t="n">
        <x:f>IF($D$4="Base",IF(AND(ISNUMBER(F29),F29&gt;-1),F29,NA()),IF($D$4="Downside",IF(AND(ISNUMBER(F30),F30&gt;-1),F30,NA()),IF($D$4="Upside",IF(AND(ISNUMBER(F31),F31&gt;-1),F31,NA()),NA())))</x:f>
        <x:v>0.05</x:v>
      </x:c>
      <x:c r="G28" s="16" t="n">
        <x:f>IF($D$4="Base",IF(AND(ISNUMBER(G29),G29&gt;-1),G29,NA()),IF($D$4="Downside",IF(AND(ISNUMBER(G30),G30&gt;-1),G30,NA()),IF($D$4="Upside",IF(AND(ISNUMBER(G31),G31&gt;-1),G31,NA()),NA())))</x:f>
        <x:v>0.05</x:v>
      </x:c>
      <x:c r="H28" s="16" t="n">
        <x:f>IF($D$4="Base",IF(AND(ISNUMBER(H29),H29&gt;-1),H29,NA()),IF($D$4="Downside",IF(AND(ISNUMBER(H30),H30&gt;-1),H30,NA()),IF($D$4="Upside",IF(AND(ISNUMBER(H31),H31&gt;-1),H31,NA()),NA())))</x:f>
        <x:v>0.05</x:v>
      </x:c>
      <x:c r="I28" s="1"/>
      <x:c r="J28" s="1"/>
    </x:row>
    <x:row r="29" ht="23" customHeight="1">
      <x:c r="A29" s="1"/>
      <x:c r="B29" s="1"/>
      <x:c r="C29" s="1" t="str">
        <x:v>Base</x:v>
      </x:c>
      <x:c r="D29" s="8" t="n">
        <x:v>0.05</x:v>
      </x:c>
      <x:c r="E29" s="8" t="n">
        <x:v>0.05</x:v>
      </x:c>
      <x:c r="F29" s="8" t="n">
        <x:v>0.05</x:v>
      </x:c>
      <x:c r="G29" s="8" t="n">
        <x:v>0.05</x:v>
      </x:c>
      <x:c r="H29" s="8" t="n">
        <x:v>0.05</x:v>
      </x:c>
      <x:c r="I29" s="1"/>
      <x:c r="J29" s="1"/>
    </x:row>
    <x:row r="30" ht="23" customHeight="1">
      <x:c r="A30" s="1"/>
      <x:c r="B30" s="1"/>
      <x:c r="C30" s="1" t="str">
        <x:v>Downside</x:v>
      </x:c>
      <x:c r="D30" s="8" t="n">
        <x:v>0.1</x:v>
      </x:c>
      <x:c r="E30" s="8" t="n">
        <x:v>0.09</x:v>
      </x:c>
      <x:c r="F30" s="8" t="n">
        <x:v>0.08</x:v>
      </x:c>
      <x:c r="G30" s="8" t="n">
        <x:v>0.07</x:v>
      </x:c>
      <x:c r="H30" s="8" t="n">
        <x:v>0.06</x:v>
      </x:c>
      <x:c r="I30" s="1"/>
      <x:c r="J30" s="1"/>
    </x:row>
    <x:row r="31" ht="23" customHeight="1">
      <x:c r="A31" s="1"/>
      <x:c r="B31" s="1"/>
      <x:c r="C31" s="1" t="str">
        <x:v>Upside</x:v>
      </x:c>
      <x:c r="D31" s="8" t="n">
        <x:v>0.02</x:v>
      </x:c>
      <x:c r="E31" s="8" t="n">
        <x:v>0.02</x:v>
      </x:c>
      <x:c r="F31" s="8" t="n">
        <x:v>0.03</x:v>
      </x:c>
      <x:c r="G31" s="8" t="n">
        <x:v>0.03</x:v>
      </x:c>
      <x:c r="H31" s="8" t="n">
        <x:v>0.03</x:v>
      </x:c>
      <x:c r="I31" s="1"/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1"/>
      <x:c r="J32" s="1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1"/>
      <x:c r="J33" s="1"/>
    </x:row>
    <x:row r="34" ht="23" customHeight="1">
      <x:c r="A34" s="1"/>
      <x:c r="B34" s="1"/>
      <x:c r="C34" s="1" t="str">
        <x:v>Terminal KZT dividend growth</x:v>
      </x:c>
      <x:c r="D34" s="8" t="n">
        <x:v>0.05</x:v>
      </x:c>
      <x:c r="E34" s="2"/>
      <x:c r="F34" s="2"/>
      <x:c r="G34" s="2"/>
      <x:c r="H34" s="2"/>
      <x:c r="I34" s="1"/>
      <x:c r="J34" s="1" t="str">
        <x:v>Terminal USD growth is derived from both KZT growth and FX depreciation.</x:v>
      </x:c>
    </x:row>
    <x:row r="35" ht="23" customHeight="1">
      <x:c r="A35" s="1"/>
      <x:c r="B35" s="1"/>
      <x:c r="C35" s="1" t="str">
        <x:v>Terminal KZT depreciation</x:v>
      </x:c>
      <x:c r="D35" s="8" t="n">
        <x:v>0.04</x:v>
      </x:c>
      <x:c r="E35" s="2"/>
      <x:c r="F35" s="2"/>
      <x:c r="G35" s="2"/>
      <x:c r="H35" s="2"/>
      <x:c r="I35" s="1"/>
      <x:c r="J35" s="1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1"/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1"/>
      <x:c r="J37" s="1"/>
    </x:row>
    <x:row r="38" ht="23" customHeight="1">
      <x:c r="A38" s="1"/>
      <x:c r="B38" s="1"/>
      <x:c r="C38" s="20" t="str">
        <x:v>Blue numeric cells are editable. Zero dividend is permitted.</x:v>
      </x:c>
      <x:c r="D38" s="21"/>
      <x:c r="E38" s="21"/>
      <x:c r="F38" s="21"/>
      <x:c r="G38" s="21"/>
      <x:c r="H38" s="21"/>
      <x:c r="I38" s="1"/>
      <x:c r="J38" s="1"/>
    </x:row>
    <x:row r="39" ht="23" customHeight="1">
      <x:c r="A39" s="1"/>
      <x:c r="B39" s="1"/>
      <x:c r="C39" s="20"/>
      <x:c r="D39" s="21"/>
      <x:c r="E39" s="21"/>
      <x:c r="F39" s="21"/>
      <x:c r="G39" s="21"/>
      <x:c r="H39" s="21"/>
      <x:c r="I39" s="1"/>
      <x:c r="J39" s="1"/>
    </x:row>
    <x:row r="40" ht="23" customHeight="1">
      <x:c r="A40" s="1"/>
      <x:c r="B40" s="1"/>
      <x:c r="C40" s="20" t="str">
        <x:v>Missing or invalid active inputs return #N/A.</x:v>
      </x:c>
      <x:c r="D40" s="21"/>
      <x:c r="E40" s="21"/>
      <x:c r="F40" s="21"/>
      <x:c r="G40" s="21"/>
      <x:c r="H40" s="21"/>
      <x:c r="I40" s="1"/>
      <x:c r="J40" s="1"/>
    </x:row>
    <x:row r="41" ht="23" customHeight="1">
      <x:c r="A41" s="1"/>
      <x:c r="B41" s="1"/>
      <x:c r="C41" s="20"/>
      <x:c r="D41" s="21"/>
      <x:c r="E41" s="21"/>
      <x:c r="F41" s="21"/>
      <x:c r="G41" s="21"/>
      <x:c r="H41" s="21"/>
      <x:c r="I41" s="1"/>
      <x:c r="J41" s="1"/>
    </x:row>
    <x:row r="42" ht="23" customHeight="1">
      <x:c r="A42" s="1"/>
      <x:c r="B42" s="1"/>
      <x:c r="C42" s="20" t="str">
        <x:v>Choose exactly Base, Downside or Upside.</x:v>
      </x:c>
      <x:c r="D42" s="21"/>
      <x:c r="E42" s="21"/>
      <x:c r="F42" s="21"/>
      <x:c r="G42" s="21"/>
      <x:c r="H42" s="21"/>
      <x:c r="I42" s="1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1"/>
      <x:c r="J43" s="1"/>
    </x:row>
    <x:row r="44" ht="23" customHeight="1">
      <x:c r="A44" s="1"/>
      <x:c r="B44" s="1"/>
      <x:c r="C44" s="1"/>
      <x:c r="D44" s="2"/>
      <x:c r="E44" s="2"/>
      <x:c r="F44" s="2"/>
      <x:c r="G44" s="2"/>
      <x:c r="H44" s="2"/>
      <x:c r="I44" s="1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1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1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1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1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1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1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1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1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1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1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1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1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1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1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1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1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1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1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1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1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1"/>
      <x:c r="J65" s="1"/>
    </x:row>
  </x:sheetData>
  <x:dataValidations count="1">
    <x:dataValidation type="list" sqref="D4">
      <x:formula1>"Base,Downside,Upside"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90" hidden="0" customWidth="1"/>
  </x:cols>
  <x:sheetData>
    <x:row r="1" ht="23" customHeight="1">
      <x:c r="A1" s="1"/>
      <x:c r="B1" s="1"/>
      <x:c r="C1" s="1"/>
      <x:c r="D1" s="2"/>
      <x:c r="E1" s="2"/>
      <x:c r="F1" s="2"/>
      <x:c r="G1" s="2"/>
      <x:c r="H1" s="2"/>
      <x:c r="I1" s="1"/>
      <x:c r="J1" s="1"/>
    </x:row>
    <x:row r="2" ht="23" customHeight="1">
      <x:c r="A2" s="1"/>
      <x:c r="B2" s="1"/>
      <x:c r="C2" s="5" t="str">
        <x:v>Kaspi.kz | Valuation</x:v>
      </x:c>
      <x:c r="D2" s="6"/>
      <x:c r="E2" s="6"/>
      <x:c r="F2" s="6"/>
      <x:c r="G2" s="6"/>
      <x:c r="H2" s="6"/>
      <x:c r="I2" s="1"/>
      <x:c r="J2" s="1"/>
    </x:row>
    <x:row r="3" ht="23" customHeight="1">
      <x:c r="A3" s="1"/>
      <x:c r="B3" s="1"/>
      <x:c r="C3" s="1"/>
      <x:c r="D3" s="2"/>
      <x:c r="E3" s="2"/>
      <x:c r="F3" s="2"/>
      <x:c r="G3" s="2"/>
      <x:c r="H3" s="2"/>
      <x:c r="I3" s="1"/>
      <x:c r="J3" s="1"/>
    </x:row>
    <x:row r="4" ht="23" customHeight="1">
      <x:c r="A4" s="1"/>
      <x:c r="B4" s="1"/>
      <x:c r="C4" s="1" t="str">
        <x:v>Case selected</x:v>
      </x:c>
      <x:c r="D4" s="14" t="str">
        <x:f>Assumptions!D4</x:f>
        <x:v>Base</x:v>
      </x:c>
      <x:c r="E4" s="2"/>
      <x:c r="F4" s="2"/>
      <x:c r="G4" s="2"/>
      <x:c r="H4" s="2"/>
      <x:c r="I4" s="1"/>
      <x:c r="J4" s="1"/>
    </x:row>
    <x:row r="5" ht="23" customHeight="1">
      <x:c r="A5" s="1"/>
      <x:c r="B5" s="1"/>
      <x:c r="C5" s="1"/>
      <x:c r="D5" s="2"/>
      <x:c r="E5" s="2"/>
      <x:c r="F5" s="2"/>
      <x:c r="G5" s="2"/>
      <x:c r="H5" s="2"/>
      <x:c r="I5" s="1"/>
      <x:c r="J5" s="1"/>
    </x:row>
    <x:row r="6" ht="23" customHeight="1">
      <x:c r="A6" s="1"/>
      <x:c r="B6" s="1"/>
      <x:c r="C6" s="1"/>
      <x:c r="D6" s="2" t="str">
        <x:v>Year 1</x:v>
      </x:c>
      <x:c r="E6" s="2" t="str">
        <x:v>Year 2</x:v>
      </x:c>
      <x:c r="F6" s="2" t="str">
        <x:v>Year 3</x:v>
      </x:c>
      <x:c r="G6" s="2" t="str">
        <x:v>Year 4</x:v>
      </x:c>
      <x:c r="H6" s="2" t="str">
        <x:v>Year 5</x:v>
      </x:c>
      <x:c r="I6" s="1"/>
      <x:c r="J6" s="1"/>
    </x:row>
    <x:row r="7" ht="23" customHeight="1">
      <x:c r="A7" s="1"/>
      <x:c r="B7" s="1"/>
      <x:c r="C7" s="1" t="str">
        <x:v>Dividend growth (KZT)</x:v>
      </x:c>
      <x:c r="D7" s="15" t="n">
        <x:f>Assumptions!D23</x:f>
        <x:v>0.1</x:v>
      </x:c>
      <x:c r="E7" s="15" t="n">
        <x:f>Assumptions!E23</x:f>
        <x:v>0.1</x:v>
      </x:c>
      <x:c r="F7" s="15" t="n">
        <x:f>Assumptions!F23</x:f>
        <x:v>0.08</x:v>
      </x:c>
      <x:c r="G7" s="15" t="n">
        <x:f>Assumptions!G23</x:f>
        <x:v>0.07</x:v>
      </x:c>
      <x:c r="H7" s="15" t="n">
        <x:f>Assumptions!H23</x:f>
        <x:v>0.06</x:v>
      </x:c>
      <x:c r="I7" s="1"/>
      <x:c r="J7" s="1"/>
    </x:row>
    <x:row r="8" ht="23" customHeight="1">
      <x:c r="A8" s="1"/>
      <x:c r="B8" s="1"/>
      <x:c r="C8" s="1" t="str">
        <x:v>Dividend per ADS (KZT)</x:v>
      </x:c>
      <x:c r="D8" s="2" t="n">
        <x:f>Assumptions!D14*(1+D7)</x:f>
        <x:v>4400</x:v>
      </x:c>
      <x:c r="E8" s="2" t="n">
        <x:f>D8*(1+E7)</x:f>
        <x:v>4840</x:v>
      </x:c>
      <x:c r="F8" s="2" t="n">
        <x:f>E8*(1+F7)</x:f>
        <x:v>5227.200000000001</x:v>
      </x:c>
      <x:c r="G8" s="2" t="n">
        <x:f>F8*(1+G7)</x:f>
        <x:v>5593.104000000001</x:v>
      </x:c>
      <x:c r="H8" s="2" t="n">
        <x:f>G8*(1+H7)</x:f>
        <x:v>5928.690240000002</x:v>
      </x:c>
      <x:c r="I8" s="1"/>
      <x:c r="J8" s="1"/>
    </x:row>
    <x:row r="9" ht="23" customHeight="1">
      <x:c r="A9" s="1"/>
      <x:c r="B9" s="1"/>
      <x:c r="C9" s="1" t="str">
        <x:v>KZT depreciation</x:v>
      </x:c>
      <x:c r="D9" s="15" t="n">
        <x:f>Assumptions!D28</x:f>
        <x:v>0.05</x:v>
      </x:c>
      <x:c r="E9" s="15" t="n">
        <x:f>Assumptions!E28</x:f>
        <x:v>0.05</x:v>
      </x:c>
      <x:c r="F9" s="15" t="n">
        <x:f>Assumptions!F28</x:f>
        <x:v>0.05</x:v>
      </x:c>
      <x:c r="G9" s="15" t="n">
        <x:f>Assumptions!G28</x:f>
        <x:v>0.05</x:v>
      </x:c>
      <x:c r="H9" s="15" t="n">
        <x:f>Assumptions!H28</x:f>
        <x:v>0.05</x:v>
      </x:c>
      <x:c r="I9" s="1"/>
      <x:c r="J9" s="1"/>
    </x:row>
    <x:row r="10" ht="23" customHeight="1">
      <x:c r="A10" s="1"/>
      <x:c r="B10" s="1"/>
      <x:c r="C10" s="1" t="str">
        <x:v>FX (KZT per USD)</x:v>
      </x:c>
      <x:c r="D10" s="2" t="n">
        <x:f>Assumptions!D15*(1+D9)</x:f>
        <x:v>504.75600000000003</x:v>
      </x:c>
      <x:c r="E10" s="2" t="n">
        <x:f>D10*(1+E9)</x:f>
        <x:v>529.9938000000001</x:v>
      </x:c>
      <x:c r="F10" s="2" t="n">
        <x:f>E10*(1+F9)</x:f>
        <x:v>556.4934900000001</x:v>
      </x:c>
      <x:c r="G10" s="2" t="n">
        <x:f>F10*(1+G9)</x:f>
        <x:v>584.3181645000001</x:v>
      </x:c>
      <x:c r="H10" s="2" t="n">
        <x:f>G10*(1+H9)</x:f>
        <x:v>613.5340727250001</x:v>
      </x:c>
      <x:c r="I10" s="1"/>
      <x:c r="J10" s="1"/>
    </x:row>
    <x:row r="11" ht="23" customHeight="1">
      <x:c r="A11" s="1"/>
      <x:c r="B11" s="1"/>
      <x:c r="C11" s="1" t="str">
        <x:v>Dividend per ADS (USD)</x:v>
      </x:c>
      <x:c r="D11" s="2" t="n">
        <x:f>D8/D10</x:f>
        <x:v>8.717083105500478</x:v>
      </x:c>
      <x:c r="E11" s="2" t="n">
        <x:f>E8/E10</x:f>
        <x:v>9.132182301000501</x:v>
      </x:c>
      <x:c r="F11" s="2" t="n">
        <x:f>F8/F10</x:f>
        <x:v>9.393101795314802</x:v>
      </x:c>
      <x:c r="G11" s="2" t="n">
        <x:f>G8/G10</x:f>
        <x:v>9.572018019987466</x:v>
      </x:c>
      <x:c r="H11" s="2" t="n">
        <x:f>H8/H10</x:f>
        <x:v>9.663180096368299</x:v>
      </x:c>
      <x:c r="I11" s="1"/>
      <x:c r="J11" s="1"/>
    </x:row>
    <x:row r="12" ht="23" customHeight="1">
      <x:c r="A12" s="1"/>
      <x:c r="B12" s="1"/>
      <x:c r="C12" s="1" t="str">
        <x:v>Discount period (years)</x:v>
      </x:c>
      <x:c r="D12" s="2" t="n">
        <x:v>1</x:v>
      </x:c>
      <x:c r="E12" s="2" t="n">
        <x:v>2</x:v>
      </x:c>
      <x:c r="F12" s="2" t="n">
        <x:v>3</x:v>
      </x:c>
      <x:c r="G12" s="2" t="n">
        <x:v>4</x:v>
      </x:c>
      <x:c r="H12" s="2" t="n">
        <x:v>5</x:v>
      </x:c>
      <x:c r="I12" s="1"/>
      <x:c r="J12" s="1"/>
    </x:row>
    <x:row r="13" ht="23" customHeight="1">
      <x:c r="A13" s="1"/>
      <x:c r="B13" s="1"/>
      <x:c r="C13" s="1" t="str">
        <x:v>Discount factor</x:v>
      </x:c>
      <x:c r="D13" s="2" t="n">
        <x:f>1/(1+Assumptions!$D$12)^D12</x:f>
        <x:v>0.8806693086745927</x:v>
      </x:c>
      <x:c r="E13" s="2" t="n">
        <x:f>1/(1+Assumptions!$D$12)^E12</x:f>
        <x:v>0.7755784312413851</x:v>
      </x:c>
      <x:c r="F13" s="2" t="n">
        <x:f>1/(1+Assumptions!$D$12)^F12</x:f>
        <x:v>0.6830281208642758</x:v>
      </x:c>
      <x:c r="G13" s="2" t="n">
        <x:f>1/(1+Assumptions!$D$12)^G12</x:f>
        <x:v>0.6015219030068478</x:v>
      </x:c>
      <x:c r="H13" s="2" t="n">
        <x:f>1/(1+Assumptions!$D$12)^H12</x:f>
        <x:v>0.5297418784736662</x:v>
      </x:c>
      <x:c r="I13" s="1"/>
      <x:c r="J13" s="1"/>
    </x:row>
    <x:row r="14" ht="23" customHeight="1">
      <x:c r="A14" s="1"/>
      <x:c r="B14" s="1"/>
      <x:c r="C14" s="1" t="str">
        <x:v>PV of dividend (USD)</x:v>
      </x:c>
      <x:c r="D14" s="2" t="n">
        <x:f>D11*D13</x:f>
        <x:v>7.676867552180078</x:v>
      </x:c>
      <x:c r="E14" s="2" t="n">
        <x:f>E11*E13</x:f>
        <x:v>7.082723622820311</x:v>
      </x:c>
      <x:c r="F14" s="2" t="n">
        <x:f>F11*F13</x:f>
        <x:v>6.415752668340724</x:v>
      </x:c>
      <x:c r="G14" s="2" t="n">
        <x:f>G11*G13</x:f>
        <x:v>5.7577784949987</x:v>
      </x:c>
      <x:c r="H14" s="2" t="n">
        <x:f>H11*H13</x:f>
        <x:v>5.118991176279485</x:v>
      </x:c>
      <x:c r="I14" s="1"/>
      <x:c r="J14" s="1"/>
    </x:row>
    <x:row r="15" ht="23" customHeight="1">
      <x:c r="A15" s="1"/>
      <x:c r="B15" s="1"/>
      <x:c r="C15" s="1"/>
      <x:c r="D15" s="2"/>
      <x:c r="E15" s="2"/>
      <x:c r="F15" s="2"/>
      <x:c r="G15" s="2"/>
      <x:c r="H15" s="2"/>
      <x:c r="I15" s="1"/>
      <x:c r="J15" s="1"/>
    </x:row>
    <x:row r="16" ht="23" customHeight="1">
      <x:c r="A16" s="1"/>
      <x:c r="B16" s="1"/>
      <x:c r="C16" s="1"/>
      <x:c r="D16" s="2"/>
      <x:c r="E16" s="2"/>
      <x:c r="F16" s="2"/>
      <x:c r="G16" s="2"/>
      <x:c r="H16" s="2"/>
      <x:c r="I16" s="1"/>
      <x:c r="J16" s="1"/>
    </x:row>
    <x:row r="17" ht="23" customHeight="1">
      <x:c r="A17" s="1"/>
      <x:c r="B17" s="1"/>
      <x:c r="C17" s="12" t="str">
        <x:v>Dividend discount valuation</x:v>
      </x:c>
      <x:c r="D17" s="13"/>
      <x:c r="E17" s="13"/>
      <x:c r="F17" s="13"/>
      <x:c r="G17" s="13"/>
      <x:c r="H17" s="13"/>
      <x:c r="I17" s="1"/>
      <x:c r="J17" s="1"/>
    </x:row>
    <x:row r="18" ht="23" customHeight="1">
      <x:c r="A18" s="1"/>
      <x:c r="B18" s="1"/>
      <x:c r="C18" s="1" t="str">
        <x:v>Terminal dividend growth (USD)</x:v>
      </x:c>
      <x:c r="D18" s="15" t="n">
        <x:f>IF(AND(ISNUMBER(Assumptions!D34),ISNUMBER(Assumptions!D35),Assumptions!D34&gt;=-1,Assumptions!D35&gt;-1),(1+Assumptions!D34)/(1+Assumptions!D35)-1,NA())</x:f>
        <x:v>0.009615384615384581</x:v>
      </x:c>
      <x:c r="E18" s="2"/>
      <x:c r="F18" s="2"/>
      <x:c r="G18" s="2"/>
      <x:c r="H18" s="2"/>
      <x:c r="I18" s="1"/>
      <x:c r="J18" s="1"/>
    </x:row>
    <x:row r="19" ht="23" customHeight="1">
      <x:c r="A19" s="1"/>
      <x:c r="B19" s="1"/>
      <x:c r="C19" s="1" t="str">
        <x:v>PV of five annual dividends (USD)</x:v>
      </x:c>
      <x:c r="D19" s="2" t="n">
        <x:f>SUM(D14:H14)</x:f>
        <x:v>32.0521135146193</x:v>
      </x:c>
      <x:c r="E19" s="2"/>
      <x:c r="F19" s="2"/>
      <x:c r="G19" s="2"/>
      <x:c r="H19" s="2"/>
      <x:c r="I19" s="1"/>
      <x:c r="J19" s="1"/>
    </x:row>
    <x:row r="20" ht="23" customHeight="1">
      <x:c r="A20" s="1"/>
      <x:c r="B20" s="1"/>
      <x:c r="C20" s="1" t="str">
        <x:v>Terminal value at year 5 (USD)</x:v>
      </x:c>
      <x:c r="D20" s="2" t="n">
        <x:f>IF(Assumptions!D12&gt;D18,H11*(1+D18)/(Assumptions!D12-D18),NA())</x:f>
        <x:v>77.50029866473197</x:v>
      </x:c>
      <x:c r="E20" s="2"/>
      <x:c r="F20" s="2"/>
      <x:c r="G20" s="2"/>
      <x:c r="H20" s="2"/>
      <x:c r="I20" s="1"/>
      <x:c r="J20" s="1"/>
    </x:row>
    <x:row r="21" ht="23" customHeight="1">
      <x:c r="A21" s="1"/>
      <x:c r="B21" s="1"/>
      <x:c r="C21" s="1" t="str">
        <x:v>PV of terminal value (USD)</x:v>
      </x:c>
      <x:c r="D21" s="2" t="n">
        <x:f>D20*H13</x:f>
        <x:v>41.055153796925275</x:v>
      </x:c>
      <x:c r="E21" s="2"/>
      <x:c r="F21" s="2"/>
      <x:c r="G21" s="2"/>
      <x:c r="H21" s="2"/>
      <x:c r="I21" s="1"/>
      <x:c r="J21" s="1"/>
    </x:row>
    <x:row r="22" ht="23" customHeight="1">
      <x:c r="A22" s="1"/>
      <x:c r="B22" s="1"/>
      <x:c r="C22" s="1" t="str">
        <x:v>DDM value per ADS (USD)</x:v>
      </x:c>
      <x:c r="D22" s="2" t="n">
        <x:f>D19+D21</x:f>
        <x:v>73.10726731154458</x:v>
      </x:c>
      <x:c r="E22" s="2"/>
      <x:c r="F22" s="2"/>
      <x:c r="G22" s="2"/>
      <x:c r="H22" s="2"/>
      <x:c r="I22" s="1"/>
      <x:c r="J22" s="1"/>
    </x:row>
    <x:row r="23" ht="23" customHeight="1">
      <x:c r="A23" s="1"/>
      <x:c r="B23" s="1"/>
      <x:c r="C23" s="1" t="str">
        <x:v>Terminal share of valuation</x:v>
      </x:c>
      <x:c r="D23" s="15" t="n">
        <x:f>IF(D22=0,0,D21/D22)</x:f>
        <x:v>0.5615741814280909</x:v>
      </x:c>
      <x:c r="E23" s="2"/>
      <x:c r="F23" s="2"/>
      <x:c r="G23" s="2"/>
      <x:c r="H23" s="2"/>
      <x:c r="I23" s="1"/>
      <x:c r="J23" s="1"/>
    </x:row>
    <x:row r="24" ht="23" customHeight="1">
      <x:c r="A24" s="1"/>
      <x:c r="B24" s="1"/>
      <x:c r="C24" s="1"/>
      <x:c r="D24" s="2"/>
      <x:c r="E24" s="2"/>
      <x:c r="F24" s="2"/>
      <x:c r="G24" s="2"/>
      <x:c r="H24" s="2"/>
      <x:c r="I24" s="1"/>
      <x:c r="J24" s="1"/>
    </x:row>
    <x:row r="25" ht="23" customHeight="1">
      <x:c r="A25" s="1"/>
      <x:c r="B25" s="1"/>
      <x:c r="C25" s="1"/>
      <x:c r="D25" s="2"/>
      <x:c r="E25" s="2"/>
      <x:c r="F25" s="2"/>
      <x:c r="G25" s="2"/>
      <x:c r="H25" s="2"/>
      <x:c r="I25" s="1"/>
      <x:c r="J25" s="1"/>
    </x:row>
    <x:row r="26" ht="23" customHeight="1">
      <x:c r="A26" s="1"/>
      <x:c r="B26" s="1"/>
      <x:c r="C26" s="1" t="str">
        <x:v>FY2025 diluted EPS (KZT)</x:v>
      </x:c>
      <x:c r="D26" s="2" t="n">
        <x:f>IF(AND(ISNUMBER(Sources!D5),Sources!D5&gt;=0),Sources!D5,NA())</x:f>
        <x:v>5592</x:v>
      </x:c>
      <x:c r="E26" s="2"/>
      <x:c r="F26" s="2"/>
      <x:c r="G26" s="2"/>
      <x:c r="H26" s="2"/>
      <x:c r="I26" s="1"/>
      <x:c r="J26" s="1"/>
    </x:row>
    <x:row r="27" ht="23" customHeight="1">
      <x:c r="A27" s="1"/>
      <x:c r="B27" s="1"/>
      <x:c r="C27" s="1" t="str">
        <x:v>FY2025 EPS at reference FX (USD)</x:v>
      </x:c>
      <x:c r="D27" s="2" t="n">
        <x:f>D26/Assumptions!D15</x:f>
        <x:v>11.63255117324014</x:v>
      </x:c>
      <x:c r="E27" s="2"/>
      <x:c r="F27" s="2"/>
      <x:c r="G27" s="2"/>
      <x:c r="H27" s="2"/>
      <x:c r="I27" s="1"/>
      <x:c r="J27" s="1"/>
    </x:row>
    <x:row r="28" ht="23" customHeight="1">
      <x:c r="A28" s="1"/>
      <x:c r="B28" s="1"/>
      <x:c r="C28" s="1" t="str">
        <x:v>P/E multiple assumption</x:v>
      </x:c>
      <x:c r="D28" s="2" t="n">
        <x:f>IF(AND(ISNUMBER(Assumptions!D16),Assumptions!D16&gt;=0),Assumptions!D16,NA())</x:f>
        <x:v>10</x:v>
      </x:c>
      <x:c r="E28" s="2"/>
      <x:c r="F28" s="2"/>
      <x:c r="G28" s="2"/>
      <x:c r="H28" s="2"/>
      <x:c r="I28" s="1"/>
      <x:c r="J28" s="1"/>
    </x:row>
    <x:row r="29" ht="23" customHeight="1">
      <x:c r="A29" s="1"/>
      <x:c r="B29" s="1"/>
      <x:c r="C29" s="1" t="str">
        <x:v>Earnings multiple value / ADS (USD)</x:v>
      </x:c>
      <x:c r="D29" s="2" t="n">
        <x:f>D27*D28</x:f>
        <x:v>116.3255117324014</x:v>
      </x:c>
      <x:c r="E29" s="2"/>
      <x:c r="F29" s="2"/>
      <x:c r="G29" s="2"/>
      <x:c r="H29" s="2"/>
      <x:c r="I29" s="1"/>
      <x:c r="J29" s="1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1"/>
      <x:c r="J30" s="1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1"/>
      <x:c r="J31" s="1"/>
    </x:row>
    <x:row r="32" ht="23" customHeight="1">
      <x:c r="A32" s="1"/>
      <x:c r="B32" s="1"/>
      <x:c r="C32" s="1" t="str">
        <x:v>Year-end cash flows; five 12-month periods from the valuation date.</x:v>
      </x:c>
      <x:c r="D32" s="2"/>
      <x:c r="E32" s="2"/>
      <x:c r="F32" s="2"/>
      <x:c r="G32" s="2"/>
      <x:c r="H32" s="2"/>
      <x:c r="I32" s="1"/>
      <x:c r="J32" s="1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1"/>
      <x:c r="J33" s="1"/>
    </x:row>
    <x:row r="34" ht="23" customHeight="1">
      <x:c r="A34" s="1"/>
      <x:c r="B34" s="1"/>
      <x:c r="C34" s="1" t="str">
        <x:v>P/E uses FY2025 earnings, not forward or trailing-twelve-month earnings.</x:v>
      </x:c>
      <x:c r="D34" s="2"/>
      <x:c r="E34" s="2"/>
      <x:c r="F34" s="2"/>
      <x:c r="G34" s="2"/>
      <x:c r="H34" s="2"/>
      <x:c r="I34" s="1"/>
      <x:c r="J34" s="1"/>
    </x:row>
    <x:row r="35" ht="23" customHeight="1">
      <x:c r="A35" s="1"/>
      <x:c r="B35" s="1"/>
      <x:c r="C35" s="1"/>
      <x:c r="D35" s="2"/>
      <x:c r="E35" s="2"/>
      <x:c r="F35" s="2"/>
      <x:c r="G35" s="2"/>
      <x:c r="H35" s="2"/>
      <x:c r="I35" s="1"/>
      <x:c r="J35" s="1"/>
    </x:row>
    <x:row r="36" ht="23" customHeight="1">
      <x:c r="A36" s="1"/>
      <x:c r="B36" s="1"/>
      <x:c r="C36" s="1" t="str">
        <x:v>No blending: the methods answer different payout and earnings questions.</x:v>
      </x:c>
      <x:c r="D36" s="2"/>
      <x:c r="E36" s="2"/>
      <x:c r="F36" s="2"/>
      <x:c r="G36" s="2"/>
      <x:c r="H36" s="2"/>
      <x:c r="I36" s="1"/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1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1"/>
      <x:c r="J38" s="1"/>
    </x:row>
    <x:row r="39" ht="23" customHeight="1">
      <x:c r="A39" s="1"/>
      <x:c r="B39" s="1"/>
      <x:c r="C39" s="12" t="str">
        <x:v>Cost of equity and terminal USD growth sensitivity</x:v>
      </x:c>
      <x:c r="D39" s="13"/>
      <x:c r="E39" s="13"/>
      <x:c r="F39" s="13"/>
      <x:c r="G39" s="13"/>
      <x:c r="H39" s="13"/>
      <x:c r="I39" s="1"/>
      <x:c r="J39" s="1"/>
    </x:row>
    <x:row r="40" ht="23" customHeight="1">
      <x:c r="A40" s="1"/>
      <x:c r="B40" s="1"/>
      <x:c r="C40" s="1" t="str">
        <x:v>Terminal growth / cost of equity</x:v>
      </x:c>
      <x:c r="D40" s="17" t="n">
        <x:f>Assumptions!$D$12+-0.02</x:f>
        <x:v>0.1155</x:v>
      </x:c>
      <x:c r="E40" s="17" t="n">
        <x:f>Assumptions!$D$12+-0.01</x:f>
        <x:v>0.1255</x:v>
      </x:c>
      <x:c r="F40" s="17" t="n">
        <x:f>Assumptions!$D$12+0</x:f>
        <x:v>0.1355</x:v>
      </x:c>
      <x:c r="G40" s="17" t="n">
        <x:f>Assumptions!$D$12+0.01</x:f>
        <x:v>0.14550000000000002</x:v>
      </x:c>
      <x:c r="H40" s="17" t="n">
        <x:f>Assumptions!$D$12+0.02</x:f>
        <x:v>0.1555</x:v>
      </x:c>
      <x:c r="I40" s="1"/>
      <x:c r="J40" s="1"/>
    </x:row>
    <x:row r="41" ht="23" customHeight="1">
      <x:c r="A41" s="1"/>
      <x:c r="B41" s="1"/>
      <x:c r="C41" s="15" t="n">
        <x:f>$D$18+-0.02</x:f>
        <x:v>-0.01038461538461542</x:v>
      </x:c>
      <x:c r="D41" s="2" t="n">
        <x:f>IF(D$40&gt;$C41,$D$11/(1+D$40)^1+$E$11/(1+D$40)^2+$F$11/(1+D$40)^3+$G$11/(1+D$40)^4+$H$11/(1+D$40)^5+($H$11*(1+$C41)/(D$40-$C41))/(1+D$40)^5,NA())</x:f>
        <x:v>77.67822310323152</x:v>
      </x:c>
      <x:c r="E41" s="2" t="n">
        <x:f>IF(E$40&gt;$C41,$D$11/(1+E$40)^1+$E$11/(1+E$40)^2+$F$11/(1+E$40)^3+$G$11/(1+E$40)^4+$H$11/(1+E$40)^5+($H$11*(1+$C41)/(E$40-$C41))/(1+E$40)^5,NA())</x:f>
        <x:v>71.82439531260856</x:v>
      </x:c>
      <x:c r="F41" s="2" t="n">
        <x:f>IF(F$40&gt;$C41,$D$11/(1+F$40)^1+$E$11/(1+F$40)^2+$F$11/(1+F$40)^3+$G$11/(1+F$40)^4+$H$11/(1+F$40)^5+($H$11*(1+$C41)/(F$40-$C41))/(1+F$40)^5,NA())</x:f>
        <x:v>66.77703915808651</x:v>
      </x:c>
      <x:c r="G41" s="2" t="n">
        <x:f>IF(G$40&gt;$C41,$D$11/(1+G$40)^1+$E$11/(1+G$40)^2+$F$11/(1+G$40)^3+$G$11/(1+G$40)^4+$H$11/(1+G$40)^5+($H$11*(1+$C41)/(G$40-$C41))/(1+G$40)^5,NA())</x:f>
        <x:v>62.38079436329389</x:v>
      </x:c>
      <x:c r="H41" s="2" t="n">
        <x:f>IF(H$40&gt;$C41,$D$11/(1+H$40)^1+$E$11/(1+H$40)^2+$F$11/(1+H$40)^3+$G$11/(1+H$40)^4+$H$11/(1+H$40)^5+($H$11*(1+$C41)/(H$40-$C41))/(1+H$40)^5,NA())</x:f>
        <x:v>58.51777045311171</x:v>
      </x:c>
      <x:c r="I41" s="1"/>
      <x:c r="J41" s="1"/>
    </x:row>
    <x:row r="42" ht="23" customHeight="1">
      <x:c r="A42" s="1"/>
      <x:c r="B42" s="1"/>
      <x:c r="C42" s="15" t="n">
        <x:f>$D$18+-0.01</x:f>
        <x:v>-0.000384615384615419</x:v>
      </x:c>
      <x:c r="D42" s="2" t="n">
        <x:f>IF(D$40&gt;$C42,$D$11/(1+D$40)^1+$E$11/(1+D$40)^2+$F$11/(1+D$40)^3+$G$11/(1+D$40)^4+$H$11/(1+D$40)^5+($H$11*(1+$C42)/(D$40-$C42))/(1+D$40)^5,NA())</x:f>
        <x:v>81.95624826110016</x:v>
      </x:c>
      <x:c r="E42" s="2" t="n">
        <x:f>IF(E$40&gt;$C42,$D$11/(1+E$40)^1+$E$11/(1+E$40)^2+$F$11/(1+E$40)^3+$G$11/(1+E$40)^4+$H$11/(1+E$40)^5+($H$11*(1+$C42)/(E$40-$C42))/(1+E$40)^5,NA())</x:f>
        <x:v>75.34482058126605</x:v>
      </x:c>
      <x:c r="F42" s="2" t="n">
        <x:f>IF(F$40&gt;$C42,$D$11/(1+F$40)^1+$E$11/(1+F$40)^2+$F$11/(1+F$40)^3+$G$11/(1+F$40)^4+$H$11/(1+F$40)^5+($H$11*(1+$C42)/(F$40-$C42))/(1+F$40)^5,NA())</x:f>
        <x:v>69.70922663986804</x:v>
      </x:c>
      <x:c r="G42" s="2" t="n">
        <x:f>IF(G$40&gt;$C42,$D$11/(1+G$40)^1+$E$11/(1+G$40)^2+$F$11/(1+G$40)^3+$G$11/(1+G$40)^4+$H$11/(1+G$40)^5+($H$11*(1+$C42)/(G$40-$C42))/(1+G$40)^5,NA())</x:f>
        <x:v>64.84869090341004</x:v>
      </x:c>
      <x:c r="H42" s="2" t="n">
        <x:f>IF(H$40&gt;$C42,$D$11/(1+H$40)^1+$E$11/(1+H$40)^2+$F$11/(1+H$40)^3+$G$11/(1+H$40)^4+$H$11/(1+H$40)^5+($H$11*(1+$C42)/(H$40-$C42))/(1+H$40)^5,NA())</x:f>
        <x:v>60.61396172587709</x:v>
      </x:c>
      <x:c r="I42" s="1"/>
      <x:c r="J42" s="1"/>
    </x:row>
    <x:row r="43" ht="23" customHeight="1">
      <x:c r="A43" s="1"/>
      <x:c r="B43" s="1"/>
      <x:c r="C43" s="15" t="n">
        <x:f>$D$18+0</x:f>
        <x:v>0.009615384615384581</x:v>
      </x:c>
      <x:c r="D43" s="2" t="n">
        <x:f>IF(D$40&gt;$C43,$D$11/(1+D$40)^1+$E$11/(1+D$40)^2+$F$11/(1+D$40)^3+$G$11/(1+D$40)^4+$H$11/(1+D$40)^5+($H$11*(1+$C43)/(D$40-$C43))/(1+D$40)^5,NA())</x:f>
        <x:v>87.04232757156294</x:v>
      </x:c>
      <x:c r="E43" s="2" t="n">
        <x:f>IF(E$40&gt;$C43,$D$11/(1+E$40)^1+$E$11/(1+E$40)^2+$F$11/(1+E$40)^3+$G$11/(1+E$40)^4+$H$11/(1+E$40)^5+($H$11*(1+$C43)/(E$40-$C43))/(1+E$40)^5,NA())</x:f>
        <x:v>79.47282007484952</x:v>
      </x:c>
      <x:c r="F43" s="2" t="n">
        <x:f>IF(F$40&gt;$C43,$D$11/(1+F$40)^1+$E$11/(1+F$40)^2+$F$11/(1+F$40)^3+$G$11/(1+F$40)^4+$H$11/(1+F$40)^5+($H$11*(1+$C43)/(F$40-$C43))/(1+F$40)^5,NA())</x:f>
        <x:v>73.10726731154458</x:v>
      </x:c>
      <x:c r="G43" s="2" t="n">
        <x:f>IF(G$40&gt;$C43,$D$11/(1+G$40)^1+$E$11/(1+G$40)^2+$F$11/(1+G$40)^3+$G$11/(1+G$40)^4+$H$11/(1+G$40)^5+($H$11*(1+$C43)/(G$40-$C43))/(1+G$40)^5,NA())</x:f>
        <x:v>67.67982157906553</x:v>
      </x:c>
      <x:c r="H43" s="2" t="n">
        <x:f>IF(H$40&gt;$C43,$D$11/(1+H$40)^1+$E$11/(1+H$40)^2+$F$11/(1+H$40)^3+$G$11/(1+H$40)^4+$H$11/(1+H$40)^5+($H$11*(1+$C43)/(H$40-$C43))/(1+H$40)^5,NA())</x:f>
        <x:v>62.99752960339807</x:v>
      </x:c>
      <x:c r="I43" s="1"/>
      <x:c r="J43" s="1"/>
    </x:row>
    <x:row r="44" ht="23" customHeight="1">
      <x:c r="A44" s="1"/>
      <x:c r="B44" s="1"/>
      <x:c r="C44" s="15" t="n">
        <x:f>$D$18+0.01</x:f>
        <x:v>0.019615384615384583</x:v>
      </x:c>
      <x:c r="D44" s="2" t="n">
        <x:f>IF(D$40&gt;$C44,$D$11/(1+D$40)^1+$E$11/(1+D$40)^2+$F$11/(1+D$40)^3+$G$11/(1+D$40)^4+$H$11/(1+D$40)^5+($H$11*(1+$C44)/(D$40-$C44))/(1+D$40)^5,NA())</x:f>
        <x:v>93.18928182845195</x:v>
      </x:c>
      <x:c r="E44" s="2" t="n">
        <x:f>IF(E$40&gt;$C44,$D$11/(1+E$40)^1+$E$11/(1+E$40)^2+$F$11/(1+E$40)^3+$G$11/(1+E$40)^4+$H$11/(1+E$40)^5+($H$11*(1+$C44)/(E$40-$C44))/(1+E$40)^5,NA())</x:f>
        <x:v>84.38053614549924</x:v>
      </x:c>
      <x:c r="F44" s="2" t="n">
        <x:f>IF(F$40&gt;$C44,$D$11/(1+F$40)^1+$E$11/(1+F$40)^2+$F$11/(1+F$40)^3+$G$11/(1+F$40)^4+$H$11/(1+F$40)^5+($H$11*(1+$C44)/(F$40-$C44))/(1+F$40)^5,NA())</x:f>
        <x:v>77.09176040581383</x:v>
      </x:c>
      <x:c r="G44" s="2" t="n">
        <x:f>IF(G$40&gt;$C44,$D$11/(1+G$40)^1+$E$11/(1+G$40)^2+$F$11/(1+G$40)^3+$G$11/(1+G$40)^4+$H$11/(1+G$40)^5+($H$11*(1+$C44)/(G$40-$C44))/(1+G$40)^5,NA())</x:f>
        <x:v>70.96074997893147</x:v>
      </x:c>
      <x:c r="H44" s="2" t="n">
        <x:f>IF(H$40&gt;$C44,$D$11/(1+H$40)^1+$E$11/(1+H$40)^2+$F$11/(1+H$40)^3+$G$11/(1+H$40)^4+$H$11/(1+H$40)^5+($H$11*(1+$C44)/(H$40-$C44))/(1+H$40)^5,NA())</x:f>
        <x:v>65.73191981217037</x:v>
      </x:c>
      <x:c r="I44" s="1"/>
      <x:c r="J44" s="1"/>
    </x:row>
    <x:row r="45" ht="23" customHeight="1">
      <x:c r="A45" s="1"/>
      <x:c r="B45" s="1"/>
      <x:c r="C45" s="15" t="n">
        <x:f>$D$18+0.02</x:f>
        <x:v>0.02961538461538458</x:v>
      </x:c>
      <x:c r="D45" s="2" t="n">
        <x:f>IF(D$40&gt;$C45,$D$11/(1+D$40)^1+$E$11/(1+D$40)^2+$F$11/(1+D$40)^3+$G$11/(1+D$40)^4+$H$11/(1+D$40)^5+($H$11*(1+$C45)/(D$40-$C45))/(1+D$40)^5,NA())</x:f>
        <x:v>100.76768087422693</x:v>
      </x:c>
      <x:c r="E45" s="2" t="n">
        <x:f>IF(E$40&gt;$C45,$D$11/(1+E$40)^1+$E$11/(1+E$40)^2+$F$11/(1+E$40)^3+$G$11/(1+E$40)^4+$H$11/(1+E$40)^5+($H$11*(1+$C45)/(E$40-$C45))/(1+E$40)^5,NA())</x:f>
        <x:v>90.31192343826602</x:v>
      </x:c>
      <x:c r="F45" s="2" t="n">
        <x:f>IF(F$40&gt;$C45,$D$11/(1+F$40)^1+$E$11/(1+F$40)^2+$F$11/(1+F$40)^3+$G$11/(1+F$40)^4+$H$11/(1+F$40)^5+($H$11*(1+$C45)/(F$40-$C45))/(1+F$40)^5,NA())</x:f>
        <x:v>81.82886389202642</x:v>
      </x:c>
      <x:c r="G45" s="2" t="n">
        <x:f>IF(G$40&gt;$C45,$D$11/(1+G$40)^1+$E$11/(1+G$40)^2+$F$11/(1+G$40)^3+$G$11/(1+G$40)^4+$H$11/(1+G$40)^5+($H$11*(1+$C45)/(G$40-$C45))/(1+G$40)^5,NA())</x:f>
        <x:v>74.80791892573744</x:v>
      </x:c>
      <x:c r="H45" s="2" t="n">
        <x:f>IF(H$40&gt;$C45,$D$11/(1+H$40)^1+$E$11/(1+H$40)^2+$F$11/(1+H$40)^3+$G$11/(1+H$40)^4+$H$11/(1+H$40)^5+($H$11*(1+$C45)/(H$40-$C45))/(1+H$40)^5,NA())</x:f>
        <x:v>68.90073804066819</x:v>
      </x:c>
      <x:c r="I45" s="1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1"/>
      <x:c r="J46" s="1"/>
    </x:row>
    <x:row r="47" ht="23" customHeight="1">
      <x:c r="A47" s="1"/>
      <x:c r="B47" s="1"/>
      <x:c r="C47" s="20" t="str">
        <x:v>Terminal share is zero by convention when all distributions are zero.</x:v>
      </x:c>
      <x:c r="D47" s="21"/>
      <x:c r="E47" s="21"/>
      <x:c r="F47" s="21"/>
      <x:c r="G47" s="21"/>
      <x:c r="H47" s="21"/>
      <x:c r="I47" s="1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1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1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1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1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1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1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1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1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1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1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1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1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1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1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1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1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1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1"/>
      <x:c r="J6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90" hidden="0" customWidth="1"/>
  </x:cols>
  <x:sheetData>
    <x:row r="1" ht="23" customHeight="1">
      <x:c r="A1" s="1"/>
      <x:c r="B1" s="1"/>
      <x:c r="C1" s="1"/>
      <x:c r="D1" s="2"/>
      <x:c r="E1" s="2"/>
      <x:c r="F1" s="2"/>
      <x:c r="G1" s="2"/>
      <x:c r="H1" s="2"/>
      <x:c r="I1" s="1"/>
      <x:c r="J1" s="1"/>
    </x:row>
    <x:row r="2" ht="23" customHeight="1">
      <x:c r="A2" s="1"/>
      <x:c r="B2" s="1"/>
      <x:c r="C2" s="5" t="str">
        <x:v>Kaspi.kz | Risk</x:v>
      </x:c>
      <x:c r="D2" s="6"/>
      <x:c r="E2" s="6"/>
      <x:c r="F2" s="6"/>
      <x:c r="G2" s="6"/>
      <x:c r="H2" s="6"/>
      <x:c r="I2" s="1"/>
      <x:c r="J2" s="1"/>
    </x:row>
    <x:row r="3" ht="23" customHeight="1">
      <x:c r="A3" s="1"/>
      <x:c r="B3" s="1"/>
      <x:c r="C3" s="1"/>
      <x:c r="D3" s="2"/>
      <x:c r="E3" s="2"/>
      <x:c r="F3" s="2"/>
      <x:c r="G3" s="2"/>
      <x:c r="H3" s="2"/>
      <x:c r="I3" s="1"/>
      <x:c r="J3" s="1"/>
    </x:row>
    <x:row r="4" ht="23" customHeight="1">
      <x:c r="A4" s="1"/>
      <x:c r="B4" s="1"/>
      <x:c r="C4" s="1" t="str">
        <x:v>Sensitivity basis</x:v>
      </x:c>
      <x:c r="D4" s="2" t="str">
        <x:v>Static balance</x:v>
      </x:c>
      <x:c r="E4" s="2"/>
      <x:c r="F4" s="2"/>
      <x:c r="G4" s="2"/>
      <x:c r="H4" s="2"/>
      <x:c r="I4" s="1"/>
      <x:c r="J4" s="1"/>
    </x:row>
    <x:row r="5" ht="23" customHeight="1">
      <x:c r="A5" s="1"/>
      <x:c r="B5" s="1"/>
      <x:c r="C5" s="1"/>
      <x:c r="D5" s="2"/>
      <x:c r="E5" s="2"/>
      <x:c r="F5" s="2"/>
      <x:c r="G5" s="2"/>
      <x:c r="H5" s="2"/>
      <x:c r="I5" s="1"/>
      <x:c r="J5" s="1"/>
    </x:row>
    <x:row r="6" ht="23" customHeight="1">
      <x:c r="A6" s="1"/>
      <x:c r="B6" s="1"/>
      <x:c r="C6" s="12" t="str">
        <x:v>Annual earnings sensitivity (KZT bn)</x:v>
      </x:c>
      <x:c r="D6" s="13"/>
      <x:c r="E6" s="13"/>
      <x:c r="F6" s="13"/>
      <x:c r="G6" s="13"/>
      <x:c r="H6" s="13"/>
      <x:c r="I6" s="1"/>
      <x:c r="J6" s="1"/>
    </x:row>
    <x:row r="7" ht="23" customHeight="1">
      <x:c r="A7" s="1"/>
      <x:c r="B7" s="1"/>
      <x:c r="C7" s="1" t="str">
        <x:v>Average net loan balance</x:v>
      </x:c>
      <x:c r="D7" s="2" t="n">
        <x:f>IF(AND(ISNUMBER(Sources!D14),Sources!D14&gt;=0),Sources!D14,NA())</x:f>
        <x:v>7300</x:v>
      </x:c>
      <x:c r="E7" s="2"/>
      <x:c r="F7" s="2"/>
      <x:c r="G7" s="2"/>
      <x:c r="H7" s="2"/>
      <x:c r="I7" s="1"/>
      <x:c r="J7" s="1" t="str">
        <x:v>Net loans proxy; rounded company balance, not an EAD or gross-loan estimate.</x:v>
      </x:c>
    </x:row>
    <x:row r="8" ht="23" customHeight="1">
      <x:c r="A8" s="1"/>
      <x:c r="B8" s="1"/>
      <x:c r="C8" s="1" t="str">
        <x:v>Average savings balance</x:v>
      </x:c>
      <x:c r="D8" s="2" t="n">
        <x:f>IF(AND(ISNUMBER(Sources!D15),Sources!D15&gt;=0),Sources!D15,NA())</x:f>
        <x:v>7800</x:v>
      </x:c>
      <x:c r="E8" s="2"/>
      <x:c r="F8" s="2"/>
      <x:c r="G8" s="2"/>
      <x:c r="H8" s="2"/>
      <x:c r="I8" s="1"/>
      <x:c r="J8" s="1" t="str">
        <x:v>All savings assumed repriced for a full year; actual timing will differ.</x:v>
      </x:c>
    </x:row>
    <x:row r="9" ht="23" customHeight="1">
      <x:c r="A9" s="1"/>
      <x:c r="B9" s="1"/>
      <x:c r="C9" s="1" t="str">
        <x:v>Tax assumption</x:v>
      </x:c>
      <x:c r="D9" s="15" t="n">
        <x:f>IF(AND(ISNUMBER(Assumptions!D17),Assumptions!D17&gt;=0,Assumptions!D17&lt;=1),Assumptions!D17,NA())</x:f>
        <x:v>0.25</x:v>
      </x:c>
      <x:c r="E9" s="2"/>
      <x:c r="F9" s="2"/>
      <x:c r="G9" s="2"/>
      <x:c r="H9" s="2"/>
      <x:c r="I9" s="1"/>
      <x:c r="J9" s="1"/>
    </x:row>
    <x:row r="10" ht="23" customHeight="1">
      <x:c r="A10" s="1"/>
      <x:c r="B10" s="1"/>
      <x:c r="C10" s="1" t="str">
        <x:v>Funding shock</x:v>
      </x:c>
      <x:c r="D10" s="15" t="n">
        <x:f>IF(AND(ISNUMBER(Assumptions!D18),Assumptions!D18&gt;=0,Assumptions!D18&lt;=1),Assumptions!D18,NA())</x:f>
        <x:v>0.01</x:v>
      </x:c>
      <x:c r="E10" s="2"/>
      <x:c r="F10" s="2"/>
      <x:c r="G10" s="2"/>
      <x:c r="H10" s="2"/>
      <x:c r="I10" s="1"/>
      <x:c r="J10" s="1"/>
    </x:row>
    <x:row r="11" ht="23" customHeight="1">
      <x:c r="A11" s="1"/>
      <x:c r="B11" s="1"/>
      <x:c r="C11" s="1" t="str">
        <x:v>Credit-loss shock</x:v>
      </x:c>
      <x:c r="D11" s="15" t="n">
        <x:f>IF(AND(ISNUMBER(Assumptions!D19),Assumptions!D19&gt;=0,Assumptions!D19&lt;=1),Assumptions!D19,NA())</x:f>
        <x:v>0.01</x:v>
      </x:c>
      <x:c r="E11" s="2"/>
      <x:c r="F11" s="2"/>
      <x:c r="G11" s="2"/>
      <x:c r="H11" s="2"/>
      <x:c r="I11" s="1"/>
      <x:c r="J11" s="1"/>
    </x:row>
    <x:row r="12" ht="23" customHeight="1">
      <x:c r="A12" s="1"/>
      <x:c r="B12" s="1"/>
      <x:c r="C12" s="1"/>
      <x:c r="D12" s="2"/>
      <x:c r="E12" s="2"/>
      <x:c r="F12" s="2"/>
      <x:c r="G12" s="2"/>
      <x:c r="H12" s="2"/>
      <x:c r="I12" s="1"/>
      <x:c r="J12" s="1"/>
    </x:row>
    <x:row r="13" ht="23" customHeight="1">
      <x:c r="A13" s="1"/>
      <x:c r="B13" s="1"/>
      <x:c r="C13" s="1" t="str">
        <x:v>Incremental funding expense</x:v>
      </x:c>
      <x:c r="D13" s="2" t="n">
        <x:f>D8*D10</x:f>
        <x:v>78</x:v>
      </x:c>
      <x:c r="E13" s="2"/>
      <x:c r="F13" s="2"/>
      <x:c r="G13" s="2"/>
      <x:c r="H13" s="2"/>
      <x:c r="I13" s="1"/>
      <x:c r="J13" s="1"/>
    </x:row>
    <x:row r="14" ht="23" customHeight="1">
      <x:c r="A14" s="1"/>
      <x:c r="B14" s="1"/>
      <x:c r="C14" s="1" t="str">
        <x:v>Incremental credit-loss expense</x:v>
      </x:c>
      <x:c r="D14" s="2" t="n">
        <x:f>D7*D11</x:f>
        <x:v>73</x:v>
      </x:c>
      <x:c r="E14" s="2"/>
      <x:c r="F14" s="2"/>
      <x:c r="G14" s="2"/>
      <x:c r="H14" s="2"/>
      <x:c r="I14" s="1"/>
      <x:c r="J14" s="1" t="str">
        <x:v>Incremental annual credit loss on static net loans; not an IFRS 9 ECL model.</x:v>
      </x:c>
    </x:row>
    <x:row r="15" ht="23" customHeight="1">
      <x:c r="A15" s="1"/>
      <x:c r="B15" s="1"/>
      <x:c r="C15" s="1" t="str">
        <x:v>Combined pretax earnings reduction</x:v>
      </x:c>
      <x:c r="D15" s="2" t="n">
        <x:f>D13+D14</x:f>
        <x:v>151</x:v>
      </x:c>
      <x:c r="E15" s="2"/>
      <x:c r="F15" s="2"/>
      <x:c r="G15" s="2"/>
      <x:c r="H15" s="2"/>
      <x:c r="I15" s="1"/>
      <x:c r="J15" s="1"/>
    </x:row>
    <x:row r="16" ht="23" customHeight="1">
      <x:c r="A16" s="1"/>
      <x:c r="B16" s="1"/>
      <x:c r="C16" s="1" t="str">
        <x:v>Combined after-tax reduction</x:v>
      </x:c>
      <x:c r="D16" s="2" t="n">
        <x:f>D15*(1-D9)</x:f>
        <x:v>113.25</x:v>
      </x:c>
      <x:c r="E16" s="2"/>
      <x:c r="F16" s="2"/>
      <x:c r="G16" s="2"/>
      <x:c r="H16" s="2"/>
      <x:c r="I16" s="1"/>
      <x:c r="J16" s="1"/>
    </x:row>
    <x:row r="17" ht="23" customHeight="1">
      <x:c r="A17" s="1"/>
      <x:c r="B17" s="1"/>
      <x:c r="C17" s="1" t="str">
        <x:v>Annualised 1H group net income</x:v>
      </x:c>
      <x:c r="D17" s="2" t="n">
        <x:f>IF(AND(ISNUMBER(Sources!D16),Sources!D16&gt;0),Sources!D16*2,NA())</x:f>
        <x:v>1021.592</x:v>
      </x:c>
      <x:c r="E17" s="2"/>
      <x:c r="F17" s="2"/>
      <x:c r="G17" s="2"/>
      <x:c r="H17" s="2"/>
      <x:c r="I17" s="1"/>
      <x:c r="J17" s="1" t="str">
        <x:v>Doubles H1 net income for scale only; not an earnings forecast.</x:v>
      </x:c>
    </x:row>
    <x:row r="18" ht="23" customHeight="1">
      <x:c r="A18" s="1"/>
      <x:c r="B18" s="1"/>
      <x:c r="C18" s="1" t="str">
        <x:v>Reduction / annualised group income</x:v>
      </x:c>
      <x:c r="D18" s="15" t="n">
        <x:f>D16/D17</x:f>
        <x:v>0.11085638885190957</x:v>
      </x:c>
      <x:c r="E18" s="2"/>
      <x:c r="F18" s="2"/>
      <x:c r="G18" s="2"/>
      <x:c r="H18" s="2"/>
      <x:c r="I18" s="1"/>
      <x:c r="J18" s="1"/>
    </x:row>
    <x:row r="19" ht="23" customHeight="1">
      <x:c r="A19" s="1"/>
      <x:c r="B19" s="1"/>
      <x:c r="C19" s="1"/>
      <x:c r="D19" s="2"/>
      <x:c r="E19" s="2"/>
      <x:c r="F19" s="2"/>
      <x:c r="G19" s="2"/>
      <x:c r="H19" s="2"/>
      <x:c r="I19" s="1"/>
      <x:c r="J19" s="1"/>
    </x:row>
    <x:row r="20" ht="23" customHeight="1">
      <x:c r="A20" s="1"/>
      <x:c r="B20" s="1"/>
      <x:c r="C20" s="1"/>
      <x:c r="D20" s="2"/>
      <x:c r="E20" s="2"/>
      <x:c r="F20" s="2"/>
      <x:c r="G20" s="2"/>
      <x:c r="H20" s="2"/>
      <x:c r="I20" s="1"/>
      <x:c r="J20" s="1"/>
    </x:row>
    <x:row r="21" ht="23" customHeight="1">
      <x:c r="A21" s="1"/>
      <x:c r="B21" s="1"/>
      <x:c r="C21" s="1" t="str">
        <x:v>NPL ratio: 30 Jun 2026</x:v>
      </x:c>
      <x:c r="D21" s="15" t="n">
        <x:f>Sources!D17</x:f>
        <x:v>0.07</x:v>
      </x:c>
      <x:c r="E21" s="2"/>
      <x:c r="F21" s="2"/>
      <x:c r="G21" s="2"/>
      <x:c r="H21" s="2"/>
      <x:c r="I21" s="1"/>
      <x:c r="J21" s="1"/>
    </x:row>
    <x:row r="22" ht="23" customHeight="1">
      <x:c r="A22" s="1"/>
      <x:c r="B22" s="1"/>
      <x:c r="C22" s="1" t="str">
        <x:v>NPL ratio: 31 Dec 2025</x:v>
      </x:c>
      <x:c r="D22" s="15" t="n">
        <x:f>Sources!D18</x:f>
        <x:v>0.061</x:v>
      </x:c>
      <x:c r="E22" s="2"/>
      <x:c r="F22" s="2"/>
      <x:c r="G22" s="2"/>
      <x:c r="H22" s="2"/>
      <x:c r="I22" s="1"/>
      <x:c r="J22" s="1"/>
    </x:row>
    <x:row r="23" ht="23" customHeight="1">
      <x:c r="A23" s="1"/>
      <x:c r="B23" s="1"/>
      <x:c r="C23" s="1" t="str">
        <x:v>Change in NPL ratio (basis points)</x:v>
      </x:c>
      <x:c r="D23" s="2" t="n">
        <x:f>(D21-D22)*10000</x:f>
        <x:v>90.00000000000009</x:v>
      </x:c>
      <x:c r="E23" s="2"/>
      <x:c r="F23" s="2"/>
      <x:c r="G23" s="2"/>
      <x:c r="H23" s="2"/>
      <x:c r="I23" s="1"/>
      <x:c r="J23" s="1"/>
    </x:row>
    <x:row r="24" ht="23" customHeight="1">
      <x:c r="A24" s="1"/>
      <x:c r="B24" s="1"/>
      <x:c r="C24" s="1"/>
      <x:c r="D24" s="2"/>
      <x:c r="E24" s="2"/>
      <x:c r="F24" s="2"/>
      <x:c r="G24" s="2"/>
      <x:c r="H24" s="2"/>
      <x:c r="I24" s="1"/>
      <x:c r="J24" s="1"/>
    </x:row>
    <x:row r="25" ht="23" customHeight="1">
      <x:c r="A25" s="1"/>
      <x:c r="B25" s="1"/>
      <x:c r="C25" s="1"/>
      <x:c r="D25" s="2"/>
      <x:c r="E25" s="2"/>
      <x:c r="F25" s="2"/>
      <x:c r="G25" s="2"/>
      <x:c r="H25" s="2"/>
      <x:c r="I25" s="1"/>
      <x:c r="J25" s="1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1"/>
      <x:c r="J26" s="1"/>
    </x:row>
    <x:row r="27" ht="23" customHeight="1">
      <x:c r="A27" s="1"/>
      <x:c r="B27" s="1"/>
      <x:c r="C27" s="1" t="str">
        <x:v>Segment NI reconciliation</x:v>
      </x:c>
      <x:c r="D27" s="19" t="n">
        <x:f>SUM(Sources!D7:D9)-Sources!D10</x:f>
        <x:v>-2.2737367544323206e-13</x:v>
      </x:c>
      <x:c r="E27" s="2"/>
      <x:c r="F27" s="2"/>
      <x:c r="G27" s="2"/>
      <x:c r="H27" s="2"/>
      <x:c r="I27" s="1"/>
      <x:c r="J27" s="1"/>
    </x:row>
    <x:row r="28" ht="23" customHeight="1">
      <x:c r="A28" s="1"/>
      <x:c r="B28" s="1"/>
      <x:c r="C28" s="1" t="str">
        <x:v>Attributable NI reconciliation</x:v>
      </x:c>
      <x:c r="D28" s="19" t="n">
        <x:f>Sources!D10-Sources!D11-Sources!D6</x:f>
        <x:v>2.2737367544323206e-13</x:v>
      </x:c>
      <x:c r="E28" s="2"/>
      <x:c r="F28" s="2"/>
      <x:c r="G28" s="2"/>
      <x:c r="H28" s="2"/>
      <x:c r="I28" s="1"/>
      <x:c r="J28" s="1"/>
    </x:row>
    <x:row r="29" ht="23" customHeight="1">
      <x:c r="A29" s="1"/>
      <x:c r="B29" s="1"/>
      <x:c r="C29" s="1"/>
      <x:c r="D29" s="2"/>
      <x:c r="E29" s="2"/>
      <x:c r="F29" s="2"/>
      <x:c r="G29" s="2"/>
      <x:c r="H29" s="2"/>
      <x:c r="I29" s="1"/>
      <x:c r="J29" s="1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1"/>
      <x:c r="J30" s="1"/>
    </x:row>
    <x:row r="31" ht="23" customHeight="1">
      <x:c r="A31" s="1"/>
      <x:c r="B31" s="1"/>
      <x:c r="C31" s="1" t="str">
        <x:v>Fixed balances; no growth, migration, repricing lag or behavioural response.</x:v>
      </x:c>
      <x:c r="D31" s="2"/>
      <x:c r="E31" s="2"/>
      <x:c r="F31" s="2"/>
      <x:c r="G31" s="2"/>
      <x:c r="H31" s="2"/>
      <x:c r="I31" s="1"/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1"/>
      <x:c r="J32" s="1"/>
    </x:row>
    <x:row r="33" ht="23" customHeight="1">
      <x:c r="A33" s="1"/>
      <x:c r="B33" s="1"/>
      <x:c r="C33" s="1" t="str">
        <x:v>Tax benefit may not be fully usable. Funding and credit shocks may interact.</x:v>
      </x:c>
      <x:c r="D33" s="2"/>
      <x:c r="E33" s="2"/>
      <x:c r="F33" s="2"/>
      <x:c r="G33" s="2"/>
      <x:c r="H33" s="2"/>
      <x:c r="I33" s="1"/>
      <x:c r="J33" s="1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1"/>
      <x:c r="J34" s="1"/>
    </x:row>
    <x:row r="35" ht="23" customHeight="1">
      <x:c r="A35" s="1"/>
      <x:c r="B35" s="1"/>
      <x:c r="C35" s="1"/>
      <x:c r="D35" s="2"/>
      <x:c r="E35" s="2"/>
      <x:c r="F35" s="2"/>
      <x:c r="G35" s="2"/>
      <x:c r="H35" s="2"/>
      <x:c r="I35" s="1"/>
      <x:c r="J35" s="1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1"/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1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1"/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1"/>
      <x:c r="J39" s="1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1"/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1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1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1"/>
      <x:c r="J43" s="1"/>
    </x:row>
    <x:row r="44" ht="23" customHeight="1">
      <x:c r="A44" s="1"/>
      <x:c r="B44" s="1"/>
      <x:c r="C44" s="1"/>
      <x:c r="D44" s="2"/>
      <x:c r="E44" s="2"/>
      <x:c r="F44" s="2"/>
      <x:c r="G44" s="2"/>
      <x:c r="H44" s="2"/>
      <x:c r="I44" s="1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1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1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1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1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1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1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1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1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1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1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1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1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1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1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1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1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1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1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1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1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1"/>
      <x:c r="J6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90" hidden="0" customWidth="1"/>
  </x:cols>
  <x:sheetData>
    <x:row r="1" ht="23" customHeight="1">
      <x:c r="A1" s="1"/>
      <x:c r="B1" s="1"/>
      <x:c r="C1" s="1"/>
      <x:c r="D1" s="2"/>
      <x:c r="E1" s="2"/>
      <x:c r="F1" s="2"/>
      <x:c r="G1" s="2"/>
      <x:c r="H1" s="2"/>
      <x:c r="I1" s="1"/>
      <x:c r="J1" s="1"/>
    </x:row>
    <x:row r="2" ht="23" customHeight="1">
      <x:c r="A2" s="1"/>
      <x:c r="B2" s="1"/>
      <x:c r="C2" s="5" t="str">
        <x:v>Kaspi.kz | Sources</x:v>
      </x:c>
      <x:c r="D2" s="6"/>
      <x:c r="E2" s="6"/>
      <x:c r="F2" s="6"/>
      <x:c r="G2" s="6"/>
      <x:c r="H2" s="6"/>
      <x:c r="I2" s="1"/>
      <x:c r="J2" s="1"/>
    </x:row>
    <x:row r="3" ht="23" customHeight="1">
      <x:c r="A3" s="1"/>
      <x:c r="B3" s="1"/>
      <x:c r="C3" s="1"/>
      <x:c r="D3" s="2"/>
      <x:c r="E3" s="2"/>
      <x:c r="F3" s="2"/>
      <x:c r="G3" s="2"/>
      <x:c r="H3" s="2"/>
      <x:c r="I3" s="1"/>
      <x:c r="J3" s="1"/>
    </x:row>
    <x:row r="4" ht="23" customHeight="1">
      <x:c r="A4" s="1"/>
      <x:c r="B4" s="1"/>
      <x:c r="C4" s="1" t="str">
        <x:v>Actuals and disclosed reference points</x:v>
      </x:c>
      <x:c r="D4" s="2" t="str">
        <x:v>Value</x:v>
      </x:c>
      <x:c r="E4" s="2"/>
      <x:c r="F4" s="2" t="str">
        <x:v>Basis</x:v>
      </x:c>
      <x:c r="G4" s="2"/>
      <x:c r="H4" s="2"/>
      <x:c r="I4" s="1"/>
      <x:c r="J4" s="1" t="str">
        <x:v>Source / locator</x:v>
      </x:c>
    </x:row>
    <x:row r="5" ht="23" customHeight="1">
      <x:c r="A5" s="1"/>
      <x:c r="B5" s="1"/>
      <x:c r="C5" s="1" t="str">
        <x:v>Diluted EPS 2025 (KZT)</x:v>
      </x:c>
      <x:c r="D5" s="7" t="n">
        <x:v>5592</x:v>
      </x:c>
      <x:c r="E5" s="2"/>
      <x:c r="F5" s="2" t="str">
        <x:v>FY2025</x:v>
      </x:c>
      <x:c r="G5" s="2"/>
      <x:c r="H5" s="2"/>
      <x:c r="I5" s="1"/>
      <x:c r="J5" s="1" t="str">
        <x:v>Form 20-F 2025, PDF p159 and p196; https://ir.kaspi.kz/media/Form_20-F_2025.pdf</x:v>
      </x:c>
    </x:row>
    <x:row r="6" ht="23" customHeight="1">
      <x:c r="A6" s="1"/>
      <x:c r="B6" s="1"/>
      <x:c r="C6" s="1" t="str">
        <x:v>Shareholder net income (KZT bn)</x:v>
      </x:c>
      <x:c r="D6" s="7" t="n">
        <x:v>1073.177</x:v>
      </x:c>
      <x:c r="E6" s="2"/>
      <x:c r="F6" s="2" t="str">
        <x:v>FY2025</x:v>
      </x:c>
      <x:c r="G6" s="2"/>
      <x:c r="H6" s="2"/>
      <x:c r="I6" s="1"/>
      <x:c r="J6" s="1" t="str">
        <x:v>Form 20-F 2025, PDF p159; https://ir.kaspi.kz/media/Form_20-F_2025.pdf</x:v>
      </x:c>
    </x:row>
    <x:row r="7" ht="23" customHeight="1">
      <x:c r="A7" s="1"/>
      <x:c r="B7" s="1"/>
      <x:c r="C7" s="1" t="str">
        <x:v>Payments net income (KZT bn)</x:v>
      </x:c>
      <x:c r="D7" s="7" t="n">
        <x:v>433.001</x:v>
      </x:c>
      <x:c r="E7" s="2"/>
      <x:c r="F7" s="2" t="str">
        <x:v>FY2025</x:v>
      </x:c>
      <x:c r="G7" s="2"/>
      <x:c r="H7" s="2"/>
      <x:c r="I7" s="1"/>
      <x:c r="J7" s="1" t="str">
        <x:v>Form 20-F 2025, PDF p188; https://ir.kaspi.kz/media/Form_20-F_2025.pdf</x:v>
      </x:c>
    </x:row>
    <x:row r="8" ht="23" customHeight="1">
      <x:c r="A8" s="1"/>
      <x:c r="B8" s="1"/>
      <x:c r="C8" s="1" t="str">
        <x:v>Marketplace net income (KZT bn)</x:v>
      </x:c>
      <x:c r="D8" s="7" t="n">
        <x:v>279.773</x:v>
      </x:c>
      <x:c r="E8" s="2"/>
      <x:c r="F8" s="2" t="str">
        <x:v>FY2025</x:v>
      </x:c>
      <x:c r="G8" s="2"/>
      <x:c r="H8" s="2"/>
      <x:c r="I8" s="1"/>
      <x:c r="J8" s="1" t="str">
        <x:v>Form 20-F 2025, PDF p188; https://ir.kaspi.kz/media/Form_20-F_2025.pdf</x:v>
      </x:c>
    </x:row>
    <x:row r="9" ht="23" customHeight="1">
      <x:c r="A9" s="1"/>
      <x:c r="B9" s="1"/>
      <x:c r="C9" s="1" t="str">
        <x:v>Fintech net income (KZT bn)</x:v>
      </x:c>
      <x:c r="D9" s="7" t="n">
        <x:v>354.933</x:v>
      </x:c>
      <x:c r="E9" s="2"/>
      <x:c r="F9" s="2" t="str">
        <x:v>FY2025</x:v>
      </x:c>
      <x:c r="G9" s="2"/>
      <x:c r="H9" s="2"/>
      <x:c r="I9" s="1"/>
      <x:c r="J9" s="1" t="str">
        <x:v>Form 20-F 2025, PDF p188; https://ir.kaspi.kz/media/Form_20-F_2025.pdf</x:v>
      </x:c>
    </x:row>
    <x:row r="10" ht="23" customHeight="1">
      <x:c r="A10" s="1"/>
      <x:c r="B10" s="1"/>
      <x:c r="C10" s="1" t="str">
        <x:v>Group net income (KZT bn)</x:v>
      </x:c>
      <x:c r="D10" s="7" t="n">
        <x:v>1067.707</x:v>
      </x:c>
      <x:c r="E10" s="2"/>
      <x:c r="F10" s="2" t="str">
        <x:v>FY2025</x:v>
      </x:c>
      <x:c r="G10" s="2"/>
      <x:c r="H10" s="2"/>
      <x:c r="I10" s="1"/>
      <x:c r="J10" s="1" t="str">
        <x:v>Form 20-F 2025, PDF p159; https://ir.kaspi.kz/media/Form_20-F_2025.pdf</x:v>
      </x:c>
    </x:row>
    <x:row r="11" ht="23" customHeight="1">
      <x:c r="A11" s="1"/>
      <x:c r="B11" s="1"/>
      <x:c r="C11" s="1" t="str">
        <x:v>Non-controlling net income (KZT bn)</x:v>
      </x:c>
      <x:c r="D11" s="7" t="n">
        <x:v>-5.47</x:v>
      </x:c>
      <x:c r="E11" s="2"/>
      <x:c r="F11" s="2" t="str">
        <x:v>FY2025</x:v>
      </x:c>
      <x:c r="G11" s="2"/>
      <x:c r="H11" s="2"/>
      <x:c r="I11" s="1"/>
      <x:c r="J11" s="1" t="str">
        <x:v>Form 20-F 2025, PDF p159; https://ir.kaspi.kz/media/Form_20-F_2025.pdf</x:v>
      </x:c>
    </x:row>
    <x:row r="12" ht="23" customHeight="1">
      <x:c r="A12" s="1"/>
      <x:c r="B12" s="1"/>
      <x:c r="C12" s="1" t="str">
        <x:v>KZT per USD reference</x:v>
      </x:c>
      <x:c r="D12" s="7" t="n">
        <x:v>480.72</x:v>
      </x:c>
      <x:c r="E12" s="2"/>
      <x:c r="F12" s="2" t="str">
        <x:v>30 Jun 2026</x:v>
      </x:c>
      <x:c r="G12" s="2"/>
      <x:c r="H12" s="2"/>
      <x:c r="I12" s="1"/>
      <x:c r="J12" s="1" t="str">
        <x:v>2Q 2026 results, PDF p18; https://ir.kaspi.kz/media/2Q_2026_Results.pdf</x:v>
      </x:c>
    </x:row>
    <x:row r="13" ht="23" customHeight="1">
      <x:c r="A13" s="1"/>
      <x:c r="B13" s="1"/>
      <x:c r="C13" s="1" t="str">
        <x:v>Proposed quarterly dividend / ADS</x:v>
      </x:c>
      <x:c r="D13" s="7" t="n">
        <x:v>1000</x:v>
      </x:c>
      <x:c r="E13" s="2"/>
      <x:c r="F13" s="2" t="str">
        <x:v>KZT; proposed</x:v>
      </x:c>
      <x:c r="G13" s="2"/>
      <x:c r="H13" s="2"/>
      <x:c r="I13" s="1"/>
      <x:c r="J13" s="1" t="str">
        <x:v>2Q 2026 results, PDF p1; https://ir.kaspi.kz/media/2Q_2026_Results.pdf</x:v>
      </x:c>
    </x:row>
    <x:row r="14" ht="23" customHeight="1">
      <x:c r="A14" s="1"/>
      <x:c r="B14" s="1"/>
      <x:c r="C14" s="1" t="str">
        <x:v>Average net loans (KZT bn)</x:v>
      </x:c>
      <x:c r="D14" s="7" t="n">
        <x:v>7300</x:v>
      </x:c>
      <x:c r="E14" s="2"/>
      <x:c r="F14" s="2" t="str">
        <x:v>2Q2026 rounded</x:v>
      </x:c>
      <x:c r="G14" s="2"/>
      <x:c r="H14" s="2"/>
      <x:c r="I14" s="1"/>
      <x:c r="J14" s="1" t="str">
        <x:v>2Q 2026 results, PDF p11; https://ir.kaspi.kz/media/2Q_2026_Results.pdf</x:v>
      </x:c>
    </x:row>
    <x:row r="15" ht="23" customHeight="1">
      <x:c r="A15" s="1"/>
      <x:c r="B15" s="1"/>
      <x:c r="C15" s="1" t="str">
        <x:v>Average savings (KZT bn)</x:v>
      </x:c>
      <x:c r="D15" s="7" t="n">
        <x:v>7800</x:v>
      </x:c>
      <x:c r="E15" s="2"/>
      <x:c r="F15" s="2" t="str">
        <x:v>2Q2026 rounded</x:v>
      </x:c>
      <x:c r="G15" s="2"/>
      <x:c r="H15" s="2"/>
      <x:c r="I15" s="1"/>
      <x:c r="J15" s="1" t="str">
        <x:v>2Q 2026 results, PDF p11; https://ir.kaspi.kz/media/2Q_2026_Results.pdf</x:v>
      </x:c>
    </x:row>
    <x:row r="16" ht="23" customHeight="1">
      <x:c r="A16" s="1"/>
      <x:c r="B16" s="1"/>
      <x:c r="C16" s="1" t="str">
        <x:v>Group net income (KZT bn)</x:v>
      </x:c>
      <x:c r="D16" s="7" t="n">
        <x:v>510.796</x:v>
      </x:c>
      <x:c r="E16" s="2"/>
      <x:c r="F16" s="2" t="str">
        <x:v>1H2026</x:v>
      </x:c>
      <x:c r="G16" s="2"/>
      <x:c r="H16" s="2"/>
      <x:c r="I16" s="1"/>
      <x:c r="J16" s="1" t="str">
        <x:v>2Q 2026 results, PDF p14; https://ir.kaspi.kz/media/2Q_2026_Results.pdf</x:v>
      </x:c>
    </x:row>
    <x:row r="17" ht="23" customHeight="1">
      <x:c r="A17" s="1"/>
      <x:c r="B17" s="1"/>
      <x:c r="C17" s="1" t="str">
        <x:v>NPL ratio</x:v>
      </x:c>
      <x:c r="D17" s="8" t="n">
        <x:v>0.07</x:v>
      </x:c>
      <x:c r="E17" s="2"/>
      <x:c r="F17" s="2" t="str">
        <x:v>30 Jun 2026</x:v>
      </x:c>
      <x:c r="G17" s="2"/>
      <x:c r="H17" s="2"/>
      <x:c r="I17" s="1"/>
      <x:c r="J17" s="1" t="str">
        <x:v>2Q 2026 results, PDF p11; https://ir.kaspi.kz/media/2Q_2026_Results.pdf</x:v>
      </x:c>
    </x:row>
    <x:row r="18" ht="23" customHeight="1">
      <x:c r="A18" s="1"/>
      <x:c r="B18" s="1"/>
      <x:c r="C18" s="1" t="str">
        <x:v>Prior NPL ratio</x:v>
      </x:c>
      <x:c r="D18" s="8" t="n">
        <x:v>0.061</x:v>
      </x:c>
      <x:c r="E18" s="2"/>
      <x:c r="F18" s="2" t="str">
        <x:v>31 Dec 2025</x:v>
      </x:c>
      <x:c r="G18" s="2"/>
      <x:c r="H18" s="2"/>
      <x:c r="I18" s="1"/>
      <x:c r="J18" s="1" t="str">
        <x:v>2Q 2026 results, PDF p11; https://ir.kaspi.kz/media/2Q_2026_Results.pdf</x:v>
      </x:c>
    </x:row>
    <x:row r="19" ht="23" customHeight="1">
      <x:c r="A19" s="1"/>
      <x:c r="B19" s="1"/>
      <x:c r="C19" s="1" t="str">
        <x:v>Shares represented by one ADS</x:v>
      </x:c>
      <x:c r="D19" s="7" t="n">
        <x:v>1</x:v>
      </x:c>
      <x:c r="E19" s="2"/>
      <x:c r="F19" s="2" t="str">
        <x:v>ADS ratio</x:v>
      </x:c>
      <x:c r="G19" s="2"/>
      <x:c r="H19" s="2"/>
      <x:c r="I19" s="1"/>
      <x:c r="J19" s="1" t="str">
        <x:v>Form 20-F 2025, cover p1; https://ir.kaspi.kz/media/Form_20-F_2025.pdf</x:v>
      </x:c>
    </x:row>
    <x:row r="20" ht="23" customHeight="1">
      <x:c r="A20" s="1"/>
      <x:c r="B20" s="1"/>
      <x:c r="C20" s="1"/>
      <x:c r="D20" s="2"/>
      <x:c r="E20" s="2"/>
      <x:c r="F20" s="2"/>
      <x:c r="G20" s="2"/>
      <x:c r="H20" s="2"/>
      <x:c r="I20" s="1"/>
      <x:c r="J20" s="1"/>
    </x:row>
    <x:row r="21" ht="23" customHeight="1">
      <x:c r="A21" s="1"/>
      <x:c r="B21" s="1"/>
      <x:c r="C21" s="1"/>
      <x:c r="D21" s="2"/>
      <x:c r="E21" s="2"/>
      <x:c r="F21" s="2"/>
      <x:c r="G21" s="2"/>
      <x:c r="H21" s="2"/>
      <x:c r="I21" s="1"/>
      <x:c r="J21" s="1"/>
    </x:row>
    <x:row r="22" ht="23" customHeight="1">
      <x:c r="A22" s="1"/>
      <x:c r="B22" s="1"/>
      <x:c r="C22" s="1" t="str">
        <x:v>Accessed 11 September 2026. Sources are not live feeds.</x:v>
      </x:c>
      <x:c r="D22" s="2"/>
      <x:c r="E22" s="2"/>
      <x:c r="F22" s="2"/>
      <x:c r="G22" s="2"/>
      <x:c r="H22" s="2"/>
      <x:c r="I22" s="1"/>
      <x:c r="J22" s="1"/>
    </x:row>
    <x:row r="23" ht="23" customHeight="1">
      <x:c r="A23" s="1"/>
      <x:c r="B23" s="1"/>
      <x:c r="C23" s="1"/>
      <x:c r="D23" s="2"/>
      <x:c r="E23" s="2"/>
      <x:c r="F23" s="2"/>
      <x:c r="G23" s="2"/>
      <x:c r="H23" s="2"/>
      <x:c r="I23" s="1"/>
      <x:c r="J23" s="1"/>
    </x:row>
    <x:row r="24" ht="23" customHeight="1">
      <x:c r="A24" s="1"/>
      <x:c r="B24" s="1"/>
      <x:c r="C24" s="1" t="str">
        <x:v>All forecast and discount inputs are analyst assumptions.</x:v>
      </x:c>
      <x:c r="D24" s="2"/>
      <x:c r="E24" s="2"/>
      <x:c r="F24" s="2"/>
      <x:c r="G24" s="2"/>
      <x:c r="H24" s="2"/>
      <x:c r="I24" s="1"/>
      <x:c r="J24" s="1"/>
    </x:row>
    <x:row r="25" ht="23" customHeight="1">
      <x:c r="A25" s="1"/>
      <x:c r="B25" s="1"/>
      <x:c r="C25" s="1"/>
      <x:c r="D25" s="2"/>
      <x:c r="E25" s="2"/>
      <x:c r="F25" s="2"/>
      <x:c r="G25" s="2"/>
      <x:c r="H25" s="2"/>
      <x:c r="I25" s="1"/>
      <x:c r="J25" s="1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1"/>
      <x:c r="J26" s="1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1"/>
      <x:c r="J27" s="1"/>
    </x:row>
    <x:row r="28" ht="23" customHeight="1">
      <x:c r="A28" s="1"/>
      <x:c r="B28" s="1"/>
      <x:c r="C28" s="1"/>
      <x:c r="D28" s="2"/>
      <x:c r="E28" s="2"/>
      <x:c r="F28" s="2"/>
      <x:c r="G28" s="2"/>
      <x:c r="H28" s="2"/>
      <x:c r="I28" s="1"/>
      <x:c r="J28" s="1"/>
    </x:row>
    <x:row r="29" ht="23" customHeight="1">
      <x:c r="A29" s="1"/>
      <x:c r="B29" s="1"/>
      <x:c r="C29" s="1"/>
      <x:c r="D29" s="2"/>
      <x:c r="E29" s="2"/>
      <x:c r="F29" s="2"/>
      <x:c r="G29" s="2"/>
      <x:c r="H29" s="2"/>
      <x:c r="I29" s="1"/>
      <x:c r="J29" s="1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1"/>
      <x:c r="J30" s="1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1"/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1"/>
      <x:c r="J32" s="1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1"/>
      <x:c r="J33" s="1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1"/>
      <x:c r="J34" s="1"/>
    </x:row>
    <x:row r="35" ht="23" customHeight="1">
      <x:c r="A35" s="1"/>
      <x:c r="B35" s="1"/>
      <x:c r="C35" s="1"/>
      <x:c r="D35" s="2"/>
      <x:c r="E35" s="2"/>
      <x:c r="F35" s="2"/>
      <x:c r="G35" s="2"/>
      <x:c r="H35" s="2"/>
      <x:c r="I35" s="1"/>
      <x:c r="J35" s="1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1"/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1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1"/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1"/>
      <x:c r="J39" s="1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1"/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1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1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1"/>
      <x:c r="J43" s="1"/>
    </x:row>
    <x:row r="44" ht="23" customHeight="1">
      <x:c r="A44" s="1"/>
      <x:c r="B44" s="1"/>
      <x:c r="C44" s="1"/>
      <x:c r="D44" s="2"/>
      <x:c r="E44" s="2"/>
      <x:c r="F44" s="2"/>
      <x:c r="G44" s="2"/>
      <x:c r="H44" s="2"/>
      <x:c r="I44" s="1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1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1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1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1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1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1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1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1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1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1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1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1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1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1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1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1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1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1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1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1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1"/>
      <x:c r="J65" s="1"/>
    </x:row>
  </x:sheetData>
  <x:pageMargins left="0.7" right="0.7" top="0.75" bottom="0.75" header="0.3" footer="0.3"/>
</x:worksheet>
</file>