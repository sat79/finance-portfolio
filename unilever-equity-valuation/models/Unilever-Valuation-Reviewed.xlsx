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4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drawings/charts/chart5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16a0a5ca0949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s" sheetId="1" r:id="Rcb42559f658f4d41"/>
    <x:sheet xmlns:r="http://schemas.openxmlformats.org/officeDocument/2006/relationships" name="Historicals" sheetId="2" r:id="Rbe1e4516213545d6"/>
    <x:sheet xmlns:r="http://schemas.openxmlformats.org/officeDocument/2006/relationships" name="ROE_DuPont" sheetId="3" r:id="R0abb072aaeb84e0d"/>
    <x:sheet xmlns:r="http://schemas.openxmlformats.org/officeDocument/2006/relationships" name="DCF" sheetId="4" r:id="Rd887086e344f4725"/>
    <x:sheet xmlns:r="http://schemas.openxmlformats.org/officeDocument/2006/relationships" name="Residual_Income" sheetId="5" r:id="R938c6187c8e94ae8"/>
    <x:sheet xmlns:r="http://schemas.openxmlformats.org/officeDocument/2006/relationships" name="Comps" sheetId="6" r:id="R77fbdd430ace4237"/>
    <x:sheet xmlns:r="http://schemas.openxmlformats.org/officeDocument/2006/relationships" name="Summary" sheetId="7" r:id="Ref3c0b711f5f49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2">
    <x:numFmt numFmtId="200" formatCode="#,##0.0;[Red](#,##0.0);-"/>
    <x:numFmt numFmtId="201" formatCode="0.0%;[Red](0.0%);-"/>
    <x:numFmt numFmtId="202" formatCode="0.00;[Red](0.00);-"/>
    <x:numFmt numFmtId="203" formatCode="0.0x;[Red](0.0x);-"/>
    <x:numFmt numFmtId="204" formatCode="0.0000"/>
    <x:numFmt numFmtId="205" formatCode="0.000x"/>
    <x:numFmt numFmtId="206" formatCode="€0.00;[Red](€0.00);-"/>
    <x:numFmt numFmtId="207" formatCode="€0.00"/>
    <x:numFmt numFmtId="208" formatCode="£0.00;[Red](£0.00);-"/>
    <x:numFmt numFmtId="209" formatCode="0.00"/>
    <x:numFmt numFmtId="210" formatCode="0.0%"/>
    <x:numFmt numFmtId="211" formatCode="0.00;(0.00);0.00"/>
  </x:numFmts>
  <x:fonts count="32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00000"/>
      <x:name val="Carlito"/>
    </x:font>
    <x:font>
      <x:sz val="11"/>
      <x:color rgb="FF0000FF"/>
      <x:name val="Carlito"/>
    </x:font>
    <x:font>
      <x:b/>
      <x:sz val="10"/>
      <x:color rgb="FFFFFFFF"/>
      <x:name val="Arial"/>
    </x:font>
    <x:font>
      <x:sz val="10"/>
      <x:name val="Arial"/>
    </x:font>
    <x:font>
      <x:b/>
      <x:sz val="10"/>
      <x:color rgb="FF000000"/>
      <x:name val="Arial"/>
    </x:font>
    <x:font>
      <x:sz val="10"/>
      <x:color rgb="FF0000FF"/>
      <x:name val="Arial"/>
    </x:font>
    <x:font>
      <x:b/>
      <x:sz val="11"/>
      <x:color rgb="FFFFFFFF"/>
      <x:name val="Carlito"/>
    </x:font>
    <x:font>
      <x:i/>
      <x:sz val="11"/>
      <x:color rgb="FF000000"/>
      <x:name val="Carlito"/>
    </x:font>
    <x:font>
      <x:i/>
      <x:sz val="10"/>
      <x:color rgb="FF000000"/>
      <x:name val="Arial"/>
    </x:font>
    <x:font>
      <x:sz val="11"/>
      <x:color rgb="FF008000"/>
      <x:name val="Carlito"/>
    </x:font>
    <x:font>
      <x:sz val="11"/>
      <x:color rgb="FF000000"/>
      <x:name val="Carlito"/>
    </x:font>
    <x:font>
      <x:b/>
      <x:sz val="11"/>
      <x:name val="Carlito"/>
    </x:font>
    <x:font>
      <x:sz val="10"/>
      <x:color rgb="FF008000"/>
      <x:name val="Arial"/>
    </x:font>
    <x:font>
      <x:sz val="10"/>
      <x:color rgb="FF000000"/>
      <x:name val="Arial"/>
    </x:font>
    <x:font>
      <x:b/>
      <x:sz val="10"/>
      <x:name val="Arial"/>
    </x:font>
    <x:font>
      <x:b/>
      <x:sz val="12"/>
      <x:color rgb="FF000000"/>
      <x:name val="Carlito"/>
    </x:font>
    <x:font>
      <x:i/>
      <x:sz val="11"/>
      <x:color rgb="FF666666"/>
      <x:name val="Carlito"/>
    </x:font>
    <x:font>
      <x:b/>
      <x:sz val="11"/>
      <x:color rgb="FF008000"/>
      <x:name val="Carlito"/>
    </x:font>
    <x:font>
      <x:b/>
      <x:sz val="11"/>
      <x:color rgb="FF0000FF"/>
      <x:name val="Carlito"/>
    </x:font>
    <x:font>
      <x:b/>
      <x:sz val="10"/>
      <x:color rgb="FF008000"/>
      <x:name val="Arial"/>
    </x:font>
    <x:font>
      <x:b/>
      <x:sz val="10"/>
      <x:color rgb="FF0000FF"/>
      <x:name val="Arial"/>
    </x:font>
    <x:font>
      <x:i/>
      <x:sz val="10"/>
      <x:color rgb="FF666666"/>
      <x:name val="Arial"/>
    </x:font>
    <x:font>
      <x:b/>
      <x:sz val="10"/>
      <x:color rgb="FF15243A"/>
      <x:name val="Arial"/>
    </x:font>
    <x:font>
      <x:b/>
      <x:sz val="10"/>
      <x:color rgb="FF167349"/>
      <x:name val="Arial"/>
    </x:font>
    <x:font>
      <x:sz val="10"/>
      <x:color rgb="FF167349"/>
      <x:name val="Arial"/>
    </x:font>
    <x:font>
      <x:sz val="10"/>
      <x:color rgb="FF1459AF"/>
      <x:name val="Arial"/>
    </x:font>
    <x:font>
      <x:sz val="11"/>
      <x:color rgb="FF1459AF"/>
      <x:name val="Carlito"/>
    </x:font>
    <x:font>
      <x:sz val="11"/>
      <x:color rgb="FF15243A"/>
      <x:name val="Carlito"/>
    </x:font>
    <x:font>
      <x:sz val="10"/>
      <x:color rgb="FF15243A"/>
      <x:name val="Arial"/>
    </x:font>
    <x:font>
      <x:sz val="10"/>
      <x:color rgb="FF52647B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FF1CC"/>
      </x:patternFill>
    </x:fill>
  </x:fills>
  <x:borders count="4">
    <x:border/>
    <x:border/>
    <x:border>
      <x:top style="thin">
        <x:color rgb="FF000000"/>
      </x:top>
    </x:border>
    <x:border>
      <x:top style="thin">
        <x:color rgb="FF000000"/>
      </x:top>
    </x:border>
  </x:borders>
  <x:cellStyleXfs count="1">
    <x:xf numFmtId="0" fontId="0" fillId="0" borderId="0"/>
  </x:cellStyleXfs>
  <x:cellXfs count="3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left" vertical="center"/>
    </x:xf>
    <x:xf numFmtId="0" fontId="5" fillId="0" borderId="1" xfId="0" applyNumberFormat="1" applyFont="1" applyFill="1" applyBorder="1"/>
    <x:xf numFmtId="0" fontId="6" fillId="3" borderId="1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left"/>
    </x:xf>
    <x:xf numFmtId="0" fontId="8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horizontal="left"/>
    </x:xf>
    <x:xf numFmtId="0" fontId="8" fillId="4" borderId="1" xfId="0" applyNumberFormat="1" applyFont="1" applyFill="1" applyBorder="1" applyAlignment="1">
      <x:alignment horizontal="left" vertical="center"/>
    </x:xf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201" fontId="3" fillId="0" borderId="0" xfId="0" applyNumberFormat="1" applyFont="1" applyFill="1" applyBorder="1"/>
    <x:xf numFmtId="201" fontId="3" fillId="0" borderId="1" xfId="0" applyNumberFormat="1" applyFont="1" applyFill="1" applyBorder="1"/>
    <x:xf numFmtId="202" fontId="3" fillId="0" borderId="0" xfId="0" applyNumberFormat="1" applyFont="1" applyFill="1" applyBorder="1"/>
    <x:xf numFmtId="202" fontId="3" fillId="0" borderId="1" xfId="0" applyNumberFormat="1" applyFont="1" applyFill="1" applyBorder="1"/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9" fillId="5" borderId="1" xfId="0" applyNumberFormat="1" applyFont="1" applyFill="1" applyBorder="1"/>
    <x:xf numFmtId="0" fontId="9" fillId="5" borderId="1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left" vertical="center"/>
    </x:xf>
    <x:xf numFmtId="200" fontId="7" fillId="0" borderId="0" xfId="0" applyNumberFormat="1" applyFont="1" applyFill="1" applyBorder="1"/>
    <x:xf numFmtId="201" fontId="7" fillId="0" borderId="0" xfId="0" applyNumberFormat="1" applyFont="1" applyFill="1" applyBorder="1"/>
    <x:xf numFmtId="202" fontId="7" fillId="0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left" vertical="center"/>
    </x:xf>
    <x:xf numFmtId="200" fontId="7" fillId="0" borderId="1" xfId="0" applyNumberFormat="1" applyFont="1" applyFill="1" applyBorder="1"/>
    <x:xf numFmtId="201" fontId="7" fillId="0" borderId="1" xfId="0" applyNumberFormat="1" applyFont="1" applyFill="1" applyBorder="1"/>
    <x:xf numFmtId="202" fontId="7" fillId="0" borderId="1" xfId="0" applyNumberFormat="1" applyFont="1" applyFill="1" applyBorder="1"/>
    <x:xf numFmtId="0" fontId="10" fillId="5" borderId="1" xfId="0" applyNumberFormat="1" applyFont="1" applyFill="1" applyBorder="1" applyAlignment="1">
      <x:alignment wrapText="1"/>
    </x:xf>
    <x:xf numFmtId="0" fontId="11" fillId="0" borderId="0" xfId="0" applyNumberFormat="1" applyFont="1" applyFill="1" applyBorder="1"/>
    <x:xf numFmtId="0" fontId="11" fillId="0" borderId="1" xfId="0" applyNumberFormat="1" applyFont="1" applyFill="1" applyBorder="1"/>
    <x:xf numFmtId="0" fontId="12" fillId="0" borderId="0" xfId="0" applyNumberFormat="1" applyFont="1" applyFill="1" applyBorder="1"/>
    <x:xf numFmtId="0" fontId="12" fillId="0" borderId="1" xfId="0" applyNumberFormat="1" applyFont="1" applyFill="1" applyBorder="1"/>
    <x:xf numFmtId="200" fontId="11" fillId="0" borderId="0" xfId="0" applyNumberFormat="1" applyFont="1" applyFill="1" applyBorder="1"/>
    <x:xf numFmtId="200" fontId="11" fillId="0" borderId="1" xfId="0" applyNumberFormat="1" applyFont="1" applyFill="1" applyBorder="1"/>
    <x:xf numFmtId="201" fontId="12" fillId="0" borderId="0" xfId="0" applyNumberFormat="1" applyFont="1" applyFill="1" applyBorder="1"/>
    <x:xf numFmtId="201" fontId="12" fillId="0" borderId="1" xfId="0" applyNumberFormat="1" applyFont="1" applyFill="1" applyBorder="1"/>
    <x:xf numFmtId="203" fontId="12" fillId="0" borderId="0" xfId="0" applyNumberFormat="1" applyFont="1" applyFill="1" applyBorder="1"/>
    <x:xf numFmtId="203" fontId="12" fillId="0" borderId="1" xfId="0" applyNumberFormat="1" applyFont="1" applyFill="1" applyBorder="1"/>
    <x:xf numFmtId="0" fontId="0" fillId="0" borderId="2" xfId="0" applyNumberFormat="1" applyFont="1" applyFill="1" applyBorder="1"/>
    <x:xf numFmtId="201" fontId="12" fillId="0" borderId="2" xfId="0" applyNumberFormat="1" applyFont="1" applyFill="1" applyBorder="1"/>
    <x:xf numFmtId="0" fontId="0" fillId="0" borderId="3" xfId="0" applyNumberFormat="1" applyFont="1" applyFill="1" applyBorder="1"/>
    <x:xf numFmtId="201" fontId="12" fillId="0" borderId="3" xfId="0" applyNumberFormat="1" applyFont="1" applyFill="1" applyBorder="1"/>
    <x:xf numFmtId="0" fontId="13" fillId="0" borderId="0" xfId="0" applyNumberFormat="1" applyFont="1" applyFill="1" applyBorder="1"/>
    <x:xf numFmtId="0" fontId="13" fillId="0" borderId="1" xfId="0" applyNumberFormat="1" applyFont="1" applyFill="1" applyBorder="1"/>
    <x:xf numFmtId="200" fontId="14" fillId="0" borderId="0" xfId="0" applyNumberFormat="1" applyFont="1" applyFill="1" applyBorder="1"/>
    <x:xf numFmtId="201" fontId="15" fillId="0" borderId="0" xfId="0" applyNumberFormat="1" applyFont="1" applyFill="1" applyBorder="1"/>
    <x:xf numFmtId="203" fontId="15" fillId="0" borderId="0" xfId="0" applyNumberFormat="1" applyFont="1" applyFill="1" applyBorder="1"/>
    <x:xf numFmtId="0" fontId="5" fillId="0" borderId="2" xfId="0" applyNumberFormat="1" applyFont="1" applyFill="1" applyBorder="1"/>
    <x:xf numFmtId="201" fontId="15" fillId="0" borderId="2" xfId="0" applyNumberFormat="1" applyFont="1" applyFill="1" applyBorder="1"/>
    <x:xf numFmtId="0" fontId="16" fillId="0" borderId="0" xfId="0" applyNumberFormat="1" applyFont="1" applyFill="1" applyBorder="1"/>
    <x:xf numFmtId="200" fontId="14" fillId="0" borderId="1" xfId="0" applyNumberFormat="1" applyFont="1" applyFill="1" applyBorder="1"/>
    <x:xf numFmtId="201" fontId="15" fillId="0" borderId="1" xfId="0" applyNumberFormat="1" applyFont="1" applyFill="1" applyBorder="1"/>
    <x:xf numFmtId="203" fontId="15" fillId="0" borderId="1" xfId="0" applyNumberFormat="1" applyFont="1" applyFill="1" applyBorder="1"/>
    <x:xf numFmtId="0" fontId="5" fillId="0" borderId="3" xfId="0" applyNumberFormat="1" applyFont="1" applyFill="1" applyBorder="1"/>
    <x:xf numFmtId="201" fontId="15" fillId="0" borderId="3" xfId="0" applyNumberFormat="1" applyFont="1" applyFill="1" applyBorder="1"/>
    <x:xf numFmtId="0" fontId="16" fillId="0" borderId="1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201" fontId="3" fillId="5" borderId="0" xfId="0" applyNumberFormat="1" applyFont="1" applyFill="1" applyBorder="1"/>
    <x:xf numFmtId="201" fontId="3" fillId="5" borderId="1" xfId="0" applyNumberFormat="1" applyFont="1" applyFill="1" applyBorder="1"/>
    <x:xf numFmtId="204" fontId="3" fillId="0" borderId="0" xfId="0" applyNumberFormat="1" applyFont="1" applyFill="1" applyBorder="1"/>
    <x:xf numFmtId="204" fontId="3" fillId="0" borderId="1" xfId="0" applyNumberFormat="1" applyFont="1" applyFill="1" applyBorder="1"/>
    <x:xf numFmtId="200" fontId="0" fillId="0" borderId="0" xfId="0" applyNumberFormat="1" applyFont="1" applyFill="1" applyBorder="1"/>
    <x:xf numFmtId="200" fontId="3" fillId="5" borderId="0" xfId="0" applyNumberFormat="1" applyFont="1" applyFill="1" applyBorder="1"/>
    <x:xf numFmtId="200" fontId="0" fillId="0" borderId="1" xfId="0" applyNumberFormat="1" applyFont="1" applyFill="1" applyBorder="1"/>
    <x:xf numFmtId="200" fontId="3" fillId="5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6" fontId="0" fillId="6" borderId="0" xfId="0" applyNumberFormat="1" applyFont="1" applyFill="1" applyBorder="1"/>
    <x:xf numFmtId="206" fontId="17" fillId="6" borderId="0" xfId="0" applyNumberFormat="1" applyFont="1" applyFill="1" applyBorder="1"/>
    <x:xf numFmtId="206" fontId="0" fillId="6" borderId="1" xfId="0" applyNumberFormat="1" applyFont="1" applyFill="1" applyBorder="1"/>
    <x:xf numFmtId="206" fontId="17" fillId="6" borderId="1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206" fontId="17" fillId="6" borderId="2" xfId="0" applyNumberFormat="1" applyFont="1" applyFill="1" applyBorder="1"/>
    <x:xf numFmtId="206" fontId="17" fillId="6" borderId="3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2" fillId="3" borderId="0" xfId="0" applyNumberFormat="1" applyFont="1" applyFill="1" applyBorder="1" applyAlignment="1">
      <x:alignment horizontal="center" vertical="center" wrapText="1"/>
    </x:xf>
    <x:xf numFmtId="201" fontId="2" fillId="3" borderId="1" xfId="0" applyNumberFormat="1" applyFont="1" applyFill="1" applyBorder="1" applyAlignment="1">
      <x:alignment horizontal="center" vertical="center" wrapText="1"/>
    </x:xf>
    <x:xf numFmtId="201" fontId="7" fillId="5" borderId="0" xfId="0" applyNumberFormat="1" applyFont="1" applyFill="1" applyBorder="1"/>
    <x:xf numFmtId="204" fontId="7" fillId="0" borderId="0" xfId="0" applyNumberFormat="1" applyFont="1" applyFill="1" applyBorder="1"/>
    <x:xf numFmtId="200" fontId="5" fillId="0" borderId="0" xfId="0" applyNumberFormat="1" applyFont="1" applyFill="1" applyBorder="1"/>
    <x:xf numFmtId="200" fontId="7" fillId="5" borderId="0" xfId="0" applyNumberFormat="1" applyFont="1" applyFill="1" applyBorder="1"/>
    <x:xf numFmtId="205" fontId="5" fillId="0" borderId="0" xfId="0" applyNumberFormat="1" applyFont="1" applyFill="1" applyBorder="1"/>
    <x:xf numFmtId="201" fontId="6" fillId="3" borderId="0" xfId="0" applyNumberFormat="1" applyFont="1" applyFill="1" applyBorder="1" applyAlignment="1">
      <x:alignment horizontal="center" vertical="center" wrapText="1"/>
    </x:xf>
    <x:xf numFmtId="201" fontId="5" fillId="0" borderId="0" xfId="0" applyNumberFormat="1" applyFont="1" applyFill="1" applyBorder="1"/>
    <x:xf numFmtId="206" fontId="5" fillId="0" borderId="0" xfId="0" applyNumberFormat="1" applyFont="1" applyFill="1" applyBorder="1"/>
    <x:xf numFmtId="200" fontId="5" fillId="0" borderId="2" xfId="0" applyNumberFormat="1" applyFont="1" applyFill="1" applyBorder="1"/>
    <x:xf numFmtId="204" fontId="5" fillId="0" borderId="0" xfId="0" applyNumberFormat="1" applyFont="1" applyFill="1" applyBorder="1"/>
    <x:xf numFmtId="206" fontId="6" fillId="6" borderId="2" xfId="0" applyNumberFormat="1" applyFont="1" applyFill="1" applyBorder="1"/>
    <x:xf numFmtId="201" fontId="7" fillId="5" borderId="1" xfId="0" applyNumberFormat="1" applyFont="1" applyFill="1" applyBorder="1"/>
    <x:xf numFmtId="204" fontId="7" fillId="0" borderId="1" xfId="0" applyNumberFormat="1" applyFont="1" applyFill="1" applyBorder="1"/>
    <x:xf numFmtId="200" fontId="5" fillId="0" borderId="1" xfId="0" applyNumberFormat="1" applyFont="1" applyFill="1" applyBorder="1"/>
    <x:xf numFmtId="200" fontId="7" fillId="5" borderId="1" xfId="0" applyNumberFormat="1" applyFont="1" applyFill="1" applyBorder="1"/>
    <x:xf numFmtId="205" fontId="5" fillId="0" borderId="1" xfId="0" applyNumberFormat="1" applyFont="1" applyFill="1" applyBorder="1"/>
    <x:xf numFmtId="201" fontId="6" fillId="3" borderId="1" xfId="0" applyNumberFormat="1" applyFont="1" applyFill="1" applyBorder="1" applyAlignment="1">
      <x:alignment horizontal="center" vertical="center" wrapText="1"/>
    </x:xf>
    <x:xf numFmtId="201" fontId="5" fillId="0" borderId="1" xfId="0" applyNumberFormat="1" applyFont="1" applyFill="1" applyBorder="1"/>
    <x:xf numFmtId="206" fontId="5" fillId="0" borderId="1" xfId="0" applyNumberFormat="1" applyFont="1" applyFill="1" applyBorder="1"/>
    <x:xf numFmtId="200" fontId="5" fillId="0" borderId="3" xfId="0" applyNumberFormat="1" applyFont="1" applyFill="1" applyBorder="1"/>
    <x:xf numFmtId="204" fontId="5" fillId="0" borderId="1" xfId="0" applyNumberFormat="1" applyFont="1" applyFill="1" applyBorder="1"/>
    <x:xf numFmtId="206" fontId="6" fillId="6" borderId="3" xfId="0" applyNumberFormat="1" applyFont="1" applyFill="1" applyBorder="1"/>
    <x:xf numFmtId="207" fontId="0" fillId="0" borderId="0" xfId="0" applyNumberFormat="1" applyFont="1" applyFill="1" applyBorder="1"/>
    <x:xf numFmtId="207" fontId="3" fillId="0" borderId="0" xfId="0" applyNumberFormat="1" applyFont="1" applyFill="1" applyBorder="1"/>
    <x:xf numFmtId="207" fontId="0" fillId="0" borderId="1" xfId="0" applyNumberFormat="1" applyFont="1" applyFill="1" applyBorder="1"/>
    <x:xf numFmtId="207" fontId="3" fillId="0" borderId="1" xfId="0" applyNumberFormat="1" applyFont="1" applyFill="1" applyBorder="1"/>
    <x:xf numFmtId="206" fontId="11" fillId="0" borderId="0" xfId="0" applyNumberFormat="1" applyFont="1" applyFill="1" applyBorder="1"/>
    <x:xf numFmtId="206" fontId="11" fillId="0" borderId="1" xfId="0" applyNumberFormat="1" applyFont="1" applyFill="1" applyBorder="1"/>
    <x:xf numFmtId="0" fontId="14" fillId="0" borderId="0" xfId="0" applyNumberFormat="1" applyFont="1" applyFill="1" applyBorder="1"/>
    <x:xf numFmtId="207" fontId="5" fillId="0" borderId="0" xfId="0" applyNumberFormat="1" applyFont="1" applyFill="1" applyBorder="1"/>
    <x:xf numFmtId="207" fontId="7" fillId="0" borderId="0" xfId="0" applyNumberFormat="1" applyFont="1" applyFill="1" applyBorder="1"/>
    <x:xf numFmtId="206" fontId="14" fillId="0" borderId="0" xfId="0" applyNumberFormat="1" applyFont="1" applyFill="1" applyBorder="1"/>
    <x:xf numFmtId="0" fontId="14" fillId="0" borderId="1" xfId="0" applyNumberFormat="1" applyFont="1" applyFill="1" applyBorder="1"/>
    <x:xf numFmtId="207" fontId="5" fillId="0" borderId="1" xfId="0" applyNumberFormat="1" applyFont="1" applyFill="1" applyBorder="1"/>
    <x:xf numFmtId="207" fontId="7" fillId="0" borderId="1" xfId="0" applyNumberFormat="1" applyFont="1" applyFill="1" applyBorder="1"/>
    <x:xf numFmtId="206" fontId="14" fillId="0" borderId="1" xfId="0" applyNumberFormat="1" applyFont="1" applyFill="1" applyBorder="1"/>
    <x:xf numFmtId="203" fontId="3" fillId="0" borderId="0" xfId="0" applyNumberFormat="1" applyFont="1" applyFill="1" applyBorder="1"/>
    <x:xf numFmtId="203" fontId="3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13" fillId="0" borderId="0" xfId="0" applyNumberFormat="1" applyFont="1" applyFill="1" applyBorder="1"/>
    <x:xf numFmtId="203" fontId="13" fillId="0" borderId="1" xfId="0" applyNumberFormat="1" applyFont="1" applyFill="1" applyBorder="1"/>
    <x:xf numFmtId="0" fontId="13" fillId="0" borderId="2" xfId="0" applyNumberFormat="1" applyFont="1" applyFill="1" applyBorder="1"/>
    <x:xf numFmtId="203" fontId="13" fillId="0" borderId="2" xfId="0" applyNumberFormat="1" applyFont="1" applyFill="1" applyBorder="1"/>
    <x:xf numFmtId="0" fontId="13" fillId="0" borderId="3" xfId="0" applyNumberFormat="1" applyFont="1" applyFill="1" applyBorder="1"/>
    <x:xf numFmtId="203" fontId="13" fillId="0" borderId="3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206" fontId="2" fillId="6" borderId="0" xfId="0" applyNumberFormat="1" applyFont="1" applyFill="1" applyBorder="1"/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206" fontId="2" fillId="6" borderId="1" xfId="0" applyNumberFormat="1" applyFont="1" applyFill="1" applyBorder="1"/>
    <x:xf numFmtId="0" fontId="2" fillId="6" borderId="2" xfId="0" applyNumberFormat="1" applyFont="1" applyFill="1" applyBorder="1"/>
    <x:xf numFmtId="206" fontId="2" fillId="6" borderId="2" xfId="0" applyNumberFormat="1" applyFont="1" applyFill="1" applyBorder="1"/>
    <x:xf numFmtId="0" fontId="2" fillId="6" borderId="3" xfId="0" applyNumberFormat="1" applyFont="1" applyFill="1" applyBorder="1"/>
    <x:xf numFmtId="206" fontId="2" fillId="6" borderId="3" xfId="0" applyNumberFormat="1" applyFont="1" applyFill="1" applyBorder="1"/>
    <x:xf numFmtId="203" fontId="7" fillId="0" borderId="0" xfId="0" applyNumberFormat="1" applyFont="1" applyFill="1" applyBorder="1"/>
    <x:xf numFmtId="0" fontId="16" fillId="0" borderId="2" xfId="0" applyNumberFormat="1" applyFont="1" applyFill="1" applyBorder="1"/>
    <x:xf numFmtId="203" fontId="16" fillId="0" borderId="2" xfId="0" applyNumberFormat="1" applyFont="1" applyFill="1" applyBorder="1"/>
    <x:xf numFmtId="203" fontId="5" fillId="0" borderId="0" xfId="0" applyNumberFormat="1" applyFont="1" applyFill="1" applyBorder="1"/>
    <x:xf numFmtId="0" fontId="6" fillId="6" borderId="2" xfId="0" applyNumberFormat="1" applyFont="1" applyFill="1" applyBorder="1"/>
    <x:xf numFmtId="203" fontId="7" fillId="0" borderId="1" xfId="0" applyNumberFormat="1" applyFont="1" applyFill="1" applyBorder="1"/>
    <x:xf numFmtId="0" fontId="16" fillId="0" borderId="3" xfId="0" applyNumberFormat="1" applyFont="1" applyFill="1" applyBorder="1"/>
    <x:xf numFmtId="203" fontId="16" fillId="0" borderId="3" xfId="0" applyNumberFormat="1" applyFont="1" applyFill="1" applyBorder="1"/>
    <x:xf numFmtId="203" fontId="5" fillId="0" borderId="1" xfId="0" applyNumberFormat="1" applyFont="1" applyFill="1" applyBorder="1"/>
    <x:xf numFmtId="0" fontId="6" fillId="6" borderId="3" xfId="0" applyNumberFormat="1" applyFont="1" applyFill="1" applyBorder="1"/>
    <x:xf numFmtId="0" fontId="18" fillId="0" borderId="0" xfId="0" applyNumberFormat="1" applyFont="1" applyFill="1" applyBorder="1"/>
    <x:xf numFmtId="0" fontId="18" fillId="0" borderId="0" xfId="0" applyNumberFormat="1" applyFont="1" applyFill="1" applyBorder="1" applyAlignment="1">
      <x:alignment wrapText="1"/>
    </x:xf>
    <x:xf numFmtId="0" fontId="18" fillId="0" borderId="1" xfId="0" applyNumberFormat="1" applyFont="1" applyFill="1" applyBorder="1"/>
    <x:xf numFmtId="0" fontId="18" fillId="0" borderId="1" xfId="0" applyNumberFormat="1" applyFont="1" applyFill="1" applyBorder="1" applyAlignment="1">
      <x:alignment wrapText="1"/>
    </x:xf>
    <x:xf numFmtId="206" fontId="2" fillId="3" borderId="0" xfId="0" applyNumberFormat="1" applyFont="1" applyFill="1" applyBorder="1" applyAlignment="1">
      <x:alignment wrapText="1"/>
    </x:xf>
    <x:xf numFmtId="206" fontId="2" fillId="3" borderId="1" xfId="0" applyNumberFormat="1" applyFont="1" applyFill="1" applyBorder="1" applyAlignment="1">
      <x:alignment wrapText="1"/>
    </x:xf>
    <x:xf numFmtId="208" fontId="2" fillId="3" borderId="0" xfId="0" applyNumberFormat="1" applyFont="1" applyFill="1" applyBorder="1" applyAlignment="1">
      <x:alignment wrapText="1"/>
    </x:xf>
    <x:xf numFmtId="208" fontId="2" fillId="3" borderId="1" xfId="0" applyNumberFormat="1" applyFont="1" applyFill="1" applyBorder="1" applyAlignment="1">
      <x:alignment wrapText="1"/>
    </x:xf>
    <x:xf numFmtId="206" fontId="19" fillId="3" borderId="0" xfId="0" applyNumberFormat="1" applyFont="1" applyFill="1" applyBorder="1" applyAlignment="1">
      <x:alignment wrapText="1"/>
    </x:xf>
    <x:xf numFmtId="0" fontId="19" fillId="3" borderId="0" xfId="0" applyNumberFormat="1" applyFont="1" applyFill="1" applyBorder="1" applyAlignment="1">
      <x:alignment wrapText="1"/>
    </x:xf>
    <x:xf numFmtId="208" fontId="19" fillId="3" borderId="0" xfId="0" applyNumberFormat="1" applyFont="1" applyFill="1" applyBorder="1" applyAlignment="1">
      <x:alignment wrapText="1"/>
    </x:xf>
    <x:xf numFmtId="206" fontId="19" fillId="3" borderId="1" xfId="0" applyNumberFormat="1" applyFont="1" applyFill="1" applyBorder="1" applyAlignment="1">
      <x:alignment wrapText="1"/>
    </x:xf>
    <x:xf numFmtId="0" fontId="19" fillId="3" borderId="1" xfId="0" applyNumberFormat="1" applyFont="1" applyFill="1" applyBorder="1" applyAlignment="1">
      <x:alignment wrapText="1"/>
    </x:xf>
    <x:xf numFmtId="208" fontId="19" fillId="3" borderId="1" xfId="0" applyNumberFormat="1" applyFont="1" applyFill="1" applyBorder="1" applyAlignment="1">
      <x:alignment wrapText="1"/>
    </x:xf>
    <x:xf numFmtId="208" fontId="20" fillId="3" borderId="0" xfId="0" applyNumberFormat="1" applyFont="1" applyFill="1" applyBorder="1" applyAlignment="1">
      <x:alignment wrapText="1"/>
    </x:xf>
    <x:xf numFmtId="208" fontId="20" fillId="3" borderId="1" xfId="0" applyNumberFormat="1" applyFont="1" applyFill="1" applyBorder="1" applyAlignment="1">
      <x:alignment wrapText="1"/>
    </x:xf>
    <x:xf numFmtId="208" fontId="0" fillId="0" borderId="0" xfId="0" applyNumberFormat="1" applyFont="1" applyFill="1" applyBorder="1"/>
    <x:xf numFmtId="208" fontId="0" fillId="0" borderId="1" xfId="0" applyNumberFormat="1" applyFont="1" applyFill="1" applyBorder="1"/>
    <x:xf numFmtId="208" fontId="0" fillId="6" borderId="0" xfId="0" applyNumberFormat="1" applyFont="1" applyFill="1" applyBorder="1"/>
    <x:xf numFmtId="208" fontId="2" fillId="6" borderId="0" xfId="0" applyNumberFormat="1" applyFont="1" applyFill="1" applyBorder="1"/>
    <x:xf numFmtId="208" fontId="0" fillId="6" borderId="1" xfId="0" applyNumberFormat="1" applyFont="1" applyFill="1" applyBorder="1"/>
    <x:xf numFmtId="208" fontId="2" fillId="6" borderId="1" xfId="0" applyNumberFormat="1" applyFont="1" applyFill="1" applyBorder="1"/>
    <x:xf numFmtId="208" fontId="2" fillId="6" borderId="2" xfId="0" applyNumberFormat="1" applyFont="1" applyFill="1" applyBorder="1"/>
    <x:xf numFmtId="208" fontId="2" fillId="6" borderId="3" xfId="0" applyNumberFormat="1" applyFont="1" applyFill="1" applyBorder="1"/>
    <x:xf numFmtId="201" fontId="11" fillId="0" borderId="0" xfId="0" applyNumberFormat="1" applyFont="1" applyFill="1" applyBorder="1"/>
    <x:xf numFmtId="201" fontId="11" fillId="0" borderId="1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206" fontId="21" fillId="3" borderId="0" xfId="0" applyNumberFormat="1" applyFont="1" applyFill="1" applyBorder="1" applyAlignment="1">
      <x:alignment wrapText="1"/>
    </x:xf>
    <x:xf numFmtId="0" fontId="21" fillId="3" borderId="0" xfId="0" applyNumberFormat="1" applyFont="1" applyFill="1" applyBorder="1" applyAlignment="1">
      <x:alignment wrapText="1"/>
    </x:xf>
    <x:xf numFmtId="208" fontId="21" fillId="3" borderId="0" xfId="0" applyNumberFormat="1" applyFont="1" applyFill="1" applyBorder="1" applyAlignment="1">
      <x:alignment wrapText="1"/>
    </x:xf>
    <x:xf numFmtId="208" fontId="22" fillId="3" borderId="0" xfId="0" applyNumberFormat="1" applyFont="1" applyFill="1" applyBorder="1" applyAlignment="1">
      <x:alignment wrapText="1"/>
    </x:xf>
    <x:xf numFmtId="0" fontId="23" fillId="0" borderId="0" xfId="0" applyNumberFormat="1" applyFont="1" applyFill="1" applyBorder="1" applyAlignment="1">
      <x:alignment wrapText="1"/>
    </x:xf>
    <x:xf numFmtId="208" fontId="6" fillId="6" borderId="2" xfId="0" applyNumberFormat="1" applyFont="1" applyFill="1" applyBorder="1"/>
    <x:xf numFmtId="201" fontId="14" fillId="0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206" fontId="21" fillId="3" borderId="1" xfId="0" applyNumberFormat="1" applyFont="1" applyFill="1" applyBorder="1" applyAlignment="1">
      <x:alignment wrapText="1"/>
    </x:xf>
    <x:xf numFmtId="0" fontId="21" fillId="3" borderId="1" xfId="0" applyNumberFormat="1" applyFont="1" applyFill="1" applyBorder="1" applyAlignment="1">
      <x:alignment wrapText="1"/>
    </x:xf>
    <x:xf numFmtId="208" fontId="21" fillId="3" borderId="1" xfId="0" applyNumberFormat="1" applyFont="1" applyFill="1" applyBorder="1" applyAlignment="1">
      <x:alignment wrapText="1"/>
    </x:xf>
    <x:xf numFmtId="208" fontId="22" fillId="3" borderId="1" xfId="0" applyNumberFormat="1" applyFont="1" applyFill="1" applyBorder="1" applyAlignment="1">
      <x:alignment wrapText="1"/>
    </x:xf>
    <x:xf numFmtId="0" fontId="23" fillId="0" borderId="1" xfId="0" applyNumberFormat="1" applyFont="1" applyFill="1" applyBorder="1" applyAlignment="1">
      <x:alignment wrapText="1"/>
    </x:xf>
    <x:xf numFmtId="208" fontId="6" fillId="6" borderId="3" xfId="0" applyNumberFormat="1" applyFont="1" applyFill="1" applyBorder="1"/>
    <x:xf numFmtId="201" fontId="14" fillId="0" borderId="1" xfId="0" applyNumberFormat="1" applyFont="1" applyFill="1" applyBorder="1"/>
    <x:xf numFmtId="0" fontId="6" fillId="3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206" fontId="21" fillId="3" borderId="0" xfId="0" applyNumberFormat="1" applyFont="1" applyFill="1" applyBorder="1" applyAlignment="1">
      <x:alignment vertical="center" wrapText="1"/>
    </x:xf>
    <x:xf numFmtId="0" fontId="21" fillId="3" borderId="0" xfId="0" applyNumberFormat="1" applyFont="1" applyFill="1" applyBorder="1" applyAlignment="1">
      <x:alignment vertical="center" wrapText="1"/>
    </x:xf>
    <x:xf numFmtId="208" fontId="21" fillId="3" borderId="0" xfId="0" applyNumberFormat="1" applyFont="1" applyFill="1" applyBorder="1" applyAlignment="1">
      <x:alignment vertical="center" wrapText="1"/>
    </x:xf>
    <x:xf numFmtId="208" fontId="22" fillId="3" borderId="0" xfId="0" applyNumberFormat="1" applyFont="1" applyFill="1" applyBorder="1" applyAlignment="1">
      <x:alignment vertical="center" wrapText="1"/>
    </x:xf>
    <x:xf numFmtId="0" fontId="23" fillId="0" borderId="0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 applyAlignment="1">
      <x:alignment vertical="center"/>
    </x:xf>
    <x:xf numFmtId="206" fontId="14" fillId="0" borderId="0" xfId="0" applyNumberFormat="1" applyFont="1" applyFill="1" applyBorder="1" applyAlignment="1">
      <x:alignment vertical="center"/>
    </x:xf>
    <x:xf numFmtId="206" fontId="5" fillId="0" borderId="0" xfId="0" applyNumberFormat="1" applyFont="1" applyFill="1" applyBorder="1" applyAlignment="1">
      <x:alignment vertical="center"/>
    </x:xf>
    <x:xf numFmtId="0" fontId="6" fillId="6" borderId="2" xfId="0" applyNumberFormat="1" applyFont="1" applyFill="1" applyBorder="1" applyAlignment="1">
      <x:alignment vertical="center"/>
    </x:xf>
    <x:xf numFmtId="206" fontId="6" fillId="6" borderId="2" xfId="0" applyNumberFormat="1" applyFont="1" applyFill="1" applyBorder="1" applyAlignment="1">
      <x:alignment vertical="center"/>
    </x:xf>
    <x:xf numFmtId="208" fontId="6" fillId="6" borderId="2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1" fontId="14" fillId="0" borderId="0" xfId="0" applyNumberFormat="1" applyFont="1" applyFill="1" applyBorder="1" applyAlignment="1">
      <x:alignment vertical="center"/>
    </x:xf>
    <x:xf numFmtId="207" fontId="5" fillId="0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6" fillId="3" borderId="1" xfId="0" applyNumberFormat="1" applyFont="1" applyFill="1" applyBorder="1" applyAlignment="1">
      <x:alignment vertical="center" wrapText="1"/>
    </x:xf>
    <x:xf numFmtId="206" fontId="21" fillId="3" borderId="1" xfId="0" applyNumberFormat="1" applyFont="1" applyFill="1" applyBorder="1" applyAlignment="1">
      <x:alignment vertical="center" wrapText="1"/>
    </x:xf>
    <x:xf numFmtId="0" fontId="21" fillId="3" borderId="1" xfId="0" applyNumberFormat="1" applyFont="1" applyFill="1" applyBorder="1" applyAlignment="1">
      <x:alignment vertical="center" wrapText="1"/>
    </x:xf>
    <x:xf numFmtId="208" fontId="21" fillId="3" borderId="1" xfId="0" applyNumberFormat="1" applyFont="1" applyFill="1" applyBorder="1" applyAlignment="1">
      <x:alignment vertical="center" wrapText="1"/>
    </x:xf>
    <x:xf numFmtId="208" fontId="22" fillId="3" borderId="1" xfId="0" applyNumberFormat="1" applyFont="1" applyFill="1" applyBorder="1" applyAlignment="1">
      <x:alignment vertical="center" wrapText="1"/>
    </x:xf>
    <x:xf numFmtId="0" fontId="23" fillId="0" borderId="1" xfId="0" applyNumberFormat="1" applyFont="1" applyFill="1" applyBorder="1" applyAlignment="1">
      <x:alignment vertical="center" wrapText="1"/>
    </x:xf>
    <x:xf numFmtId="201" fontId="5" fillId="0" borderId="1" xfId="0" applyNumberFormat="1" applyFont="1" applyFill="1" applyBorder="1" applyAlignment="1">
      <x:alignment vertical="center"/>
    </x:xf>
    <x:xf numFmtId="206" fontId="14" fillId="0" borderId="1" xfId="0" applyNumberFormat="1" applyFont="1" applyFill="1" applyBorder="1" applyAlignment="1">
      <x:alignment vertical="center"/>
    </x:xf>
    <x:xf numFmtId="206" fontId="5" fillId="0" borderId="1" xfId="0" applyNumberFormat="1" applyFont="1" applyFill="1" applyBorder="1" applyAlignment="1">
      <x:alignment vertical="center"/>
    </x:xf>
    <x:xf numFmtId="0" fontId="6" fillId="6" borderId="3" xfId="0" applyNumberFormat="1" applyFont="1" applyFill="1" applyBorder="1" applyAlignment="1">
      <x:alignment vertical="center"/>
    </x:xf>
    <x:xf numFmtId="206" fontId="6" fillId="6" borderId="3" xfId="0" applyNumberFormat="1" applyFont="1" applyFill="1" applyBorder="1" applyAlignment="1">
      <x:alignment vertical="center"/>
    </x:xf>
    <x:xf numFmtId="208" fontId="6" fillId="6" borderId="3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201" fontId="14" fillId="0" borderId="1" xfId="0" applyNumberFormat="1" applyFont="1" applyFill="1" applyBorder="1" applyAlignment="1">
      <x:alignment vertical="center"/>
    </x:xf>
    <x:xf numFmtId="207" fontId="5" fillId="0" borderId="1" xfId="0" applyNumberFormat="1" applyFont="1" applyFill="1" applyBorder="1" applyAlignment="1">
      <x:alignment vertical="center"/>
    </x:xf>
    <x:xf numFmtId="0" fontId="6" fillId="3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 wrapText="1"/>
    </x:xf>
    <x:xf numFmtId="20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0" fontId="10" fillId="5" borderId="0" xfId="0" applyNumberFormat="1" applyFont="1" applyFill="1" applyBorder="1" applyAlignment="1">
      <x:alignment vertical="center" wrapText="1"/>
    </x:xf>
    <x:xf numFmtId="200" fontId="7" fillId="0" borderId="1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vertical="center"/>
    </x:xf>
    <x:xf numFmtId="201" fontId="7" fillId="0" borderId="1" xfId="0" applyNumberFormat="1" applyFont="1" applyFill="1" applyBorder="1" applyAlignment="1">
      <x:alignment vertical="center"/>
    </x:xf>
    <x:xf numFmtId="202" fontId="7" fillId="0" borderId="1" xfId="0" applyNumberFormat="1" applyFont="1" applyFill="1" applyBorder="1" applyAlignment="1">
      <x:alignment vertical="center"/>
    </x:xf>
    <x:xf numFmtId="0" fontId="10" fillId="5" borderId="1" xfId="0" applyNumberFormat="1" applyFont="1" applyFill="1" applyBorder="1" applyAlignment="1">
      <x:alignment vertical="center" wrapText="1"/>
    </x:xf>
    <x:xf numFmtId="200" fontId="14" fillId="0" borderId="0" xfId="0" applyNumberFormat="1" applyFont="1" applyFill="1" applyBorder="1" applyAlignment="1">
      <x:alignment vertical="center"/>
    </x:xf>
    <x:xf numFmtId="201" fontId="15" fillId="0" borderId="0" xfId="0" applyNumberFormat="1" applyFont="1" applyFill="1" applyBorder="1" applyAlignment="1">
      <x:alignment vertical="center"/>
    </x:xf>
    <x:xf numFmtId="203" fontId="15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201" fontId="15" fillId="0" borderId="2" xfId="0" applyNumberFormat="1" applyFont="1" applyFill="1" applyBorder="1" applyAlignment="1">
      <x:alignment vertical="center"/>
    </x:xf>
    <x:xf numFmtId="0" fontId="16" fillId="0" borderId="0" xfId="0" applyNumberFormat="1" applyFont="1" applyFill="1" applyBorder="1" applyAlignment="1">
      <x:alignment vertical="center"/>
    </x:xf>
    <x:xf numFmtId="200" fontId="14" fillId="0" borderId="1" xfId="0" applyNumberFormat="1" applyFont="1" applyFill="1" applyBorder="1" applyAlignment="1">
      <x:alignment vertical="center"/>
    </x:xf>
    <x:xf numFmtId="201" fontId="15" fillId="0" borderId="1" xfId="0" applyNumberFormat="1" applyFont="1" applyFill="1" applyBorder="1" applyAlignment="1">
      <x:alignment vertical="center"/>
    </x:xf>
    <x:xf numFmtId="203" fontId="15" fillId="0" borderId="1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201" fontId="15" fillId="0" borderId="3" xfId="0" applyNumberFormat="1" applyFont="1" applyFill="1" applyBorder="1" applyAlignment="1">
      <x:alignment vertical="center"/>
    </x:xf>
    <x:xf numFmtId="0" fontId="16" fillId="0" borderId="1" xfId="0" applyNumberFormat="1" applyFont="1" applyFill="1" applyBorder="1" applyAlignment="1">
      <x:alignment vertical="center"/>
    </x:xf>
    <x:xf numFmtId="201" fontId="7" fillId="5" borderId="0" xfId="0" applyNumberFormat="1" applyFont="1" applyFill="1" applyBorder="1" applyAlignment="1">
      <x:alignment vertical="center"/>
    </x:xf>
    <x:xf numFmtId="204" fontId="7" fillId="0" borderId="0" xfId="0" applyNumberFormat="1" applyFont="1" applyFill="1" applyBorder="1" applyAlignment="1">
      <x:alignment vertical="center"/>
    </x:xf>
    <x:xf numFmtId="200" fontId="7" fillId="5" borderId="0" xfId="0" applyNumberFormat="1" applyFont="1" applyFill="1" applyBorder="1" applyAlignment="1">
      <x:alignment vertical="center"/>
    </x:xf>
    <x:xf numFmtId="205" fontId="5" fillId="0" borderId="0" xfId="0" applyNumberFormat="1" applyFont="1" applyFill="1" applyBorder="1" applyAlignment="1">
      <x:alignment vertical="center"/>
    </x:xf>
    <x:xf numFmtId="200" fontId="5" fillId="0" borderId="2" xfId="0" applyNumberFormat="1" applyFont="1" applyFill="1" applyBorder="1" applyAlignment="1">
      <x:alignment vertical="center"/>
    </x:xf>
    <x:xf numFmtId="204" fontId="5" fillId="0" borderId="0" xfId="0" applyNumberFormat="1" applyFont="1" applyFill="1" applyBorder="1" applyAlignment="1">
      <x:alignment vertical="center"/>
    </x:xf>
    <x:xf numFmtId="201" fontId="7" fillId="5" borderId="1" xfId="0" applyNumberFormat="1" applyFont="1" applyFill="1" applyBorder="1" applyAlignment="1">
      <x:alignment vertical="center"/>
    </x:xf>
    <x:xf numFmtId="204" fontId="7" fillId="0" borderId="1" xfId="0" applyNumberFormat="1" applyFont="1" applyFill="1" applyBorder="1" applyAlignment="1">
      <x:alignment vertical="center"/>
    </x:xf>
    <x:xf numFmtId="200" fontId="7" fillId="5" borderId="1" xfId="0" applyNumberFormat="1" applyFont="1" applyFill="1" applyBorder="1" applyAlignment="1">
      <x:alignment vertical="center"/>
    </x:xf>
    <x:xf numFmtId="205" fontId="5" fillId="0" borderId="1" xfId="0" applyNumberFormat="1" applyFont="1" applyFill="1" applyBorder="1" applyAlignment="1">
      <x:alignment vertical="center"/>
    </x:xf>
    <x:xf numFmtId="200" fontId="5" fillId="0" borderId="3" xfId="0" applyNumberFormat="1" applyFont="1" applyFill="1" applyBorder="1" applyAlignment="1">
      <x:alignment vertical="center"/>
    </x:xf>
    <x:xf numFmtId="204" fontId="5" fillId="0" borderId="1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 applyAlignment="1">
      <x:alignment vertical="center"/>
    </x:xf>
    <x:xf numFmtId="207" fontId="7" fillId="0" borderId="0" xfId="0" applyNumberFormat="1" applyFont="1" applyFill="1" applyBorder="1" applyAlignment="1">
      <x:alignment vertical="center"/>
    </x:xf>
    <x:xf numFmtId="0" fontId="14" fillId="0" borderId="1" xfId="0" applyNumberFormat="1" applyFont="1" applyFill="1" applyBorder="1" applyAlignment="1">
      <x:alignment vertical="center"/>
    </x:xf>
    <x:xf numFmtId="207" fontId="7" fillId="0" borderId="1" xfId="0" applyNumberFormat="1" applyFont="1" applyFill="1" applyBorder="1" applyAlignment="1">
      <x:alignment vertical="center"/>
    </x:xf>
    <x:xf numFmtId="203" fontId="7" fillId="0" borderId="0" xfId="0" applyNumberFormat="1" applyFont="1" applyFill="1" applyBorder="1" applyAlignment="1">
      <x:alignment vertical="center"/>
    </x:xf>
    <x:xf numFmtId="0" fontId="16" fillId="0" borderId="2" xfId="0" applyNumberFormat="1" applyFont="1" applyFill="1" applyBorder="1" applyAlignment="1">
      <x:alignment vertical="center"/>
    </x:xf>
    <x:xf numFmtId="203" fontId="16" fillId="0" borderId="2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/>
    </x:xf>
    <x:xf numFmtId="203" fontId="7" fillId="0" borderId="1" xfId="0" applyNumberFormat="1" applyFont="1" applyFill="1" applyBorder="1" applyAlignment="1">
      <x:alignment vertical="center"/>
    </x:xf>
    <x:xf numFmtId="0" fontId="16" fillId="0" borderId="3" xfId="0" applyNumberFormat="1" applyFont="1" applyFill="1" applyBorder="1" applyAlignment="1">
      <x:alignment vertical="center"/>
    </x:xf>
    <x:xf numFmtId="203" fontId="16" fillId="0" borderId="3" xfId="0" applyNumberFormat="1" applyFont="1" applyFill="1" applyBorder="1" applyAlignment="1">
      <x:alignment vertical="center"/>
    </x:xf>
    <x:xf numFmtId="203" fontId="5" fillId="0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206" fontId="6" fillId="3" borderId="0" xfId="0" applyNumberFormat="1" applyFont="1" applyFill="1" applyBorder="1" applyAlignment="1">
      <x:alignment vertical="center" wrapText="1"/>
    </x:xf>
    <x:xf numFmtId="208" fontId="6" fillId="3" borderId="0" xfId="0" applyNumberFormat="1" applyFont="1" applyFill="1" applyBorder="1" applyAlignment="1">
      <x:alignment vertical="center" wrapText="1"/>
    </x:xf>
    <x:xf numFmtId="206" fontId="6" fillId="3" borderId="1" xfId="0" applyNumberFormat="1" applyFont="1" applyFill="1" applyBorder="1" applyAlignment="1">
      <x:alignment vertical="center" wrapText="1"/>
    </x:xf>
    <x:xf numFmtId="208" fontId="6" fillId="3" borderId="1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horizontal="left" vertical="center"/>
    </x:xf>
    <x:xf numFmtId="0" fontId="6" fillId="3" borderId="1" xfId="0" applyNumberFormat="1" applyFont="1" applyFill="1" applyBorder="1" applyAlignment="1">
      <x:alignment horizontal="left"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horizontal="center" vertical="center" wrapText="0"/>
    </x:xf>
    <x:xf numFmtId="0" fontId="6" fillId="3" borderId="1" xfId="0" applyNumberFormat="1" applyFont="1" applyFill="1" applyBorder="1" applyAlignment="1">
      <x:alignment horizontal="center" vertical="center" wrapText="0"/>
    </x:xf>
    <x:xf numFmtId="206" fontId="21" fillId="3" borderId="0" xfId="0" applyNumberFormat="1" applyFont="1" applyFill="1" applyBorder="1" applyAlignment="1">
      <x:alignment horizontal="center" vertical="center" wrapText="1"/>
    </x:xf>
    <x:xf numFmtId="206" fontId="21" fillId="3" borderId="1" xfId="0" applyNumberFormat="1" applyFont="1" applyFill="1" applyBorder="1" applyAlignment="1">
      <x:alignment horizontal="center" vertical="center" wrapText="1"/>
    </x:xf>
    <x:xf numFmtId="208" fontId="21" fillId="3" borderId="0" xfId="0" applyNumberFormat="1" applyFont="1" applyFill="1" applyBorder="1" applyAlignment="1">
      <x:alignment horizontal="center" vertical="center" wrapText="1"/>
    </x:xf>
    <x:xf numFmtId="208" fontId="21" fillId="3" borderId="1" xfId="0" applyNumberFormat="1" applyFont="1" applyFill="1" applyBorder="1" applyAlignment="1">
      <x:alignment horizontal="center" vertical="center" wrapText="1"/>
    </x:xf>
    <x:xf numFmtId="208" fontId="22" fillId="3" borderId="0" xfId="0" applyNumberFormat="1" applyFont="1" applyFill="1" applyBorder="1" applyAlignment="1">
      <x:alignment horizontal="center" vertical="center" wrapText="1"/>
    </x:xf>
    <x:xf numFmtId="208" fontId="22" fillId="3" borderId="1" xfId="0" applyNumberFormat="1" applyFont="1" applyFill="1" applyBorder="1" applyAlignment="1">
      <x:alignment horizontal="center" vertical="center" wrapText="1"/>
    </x:xf>
    <x:xf numFmtId="209" fontId="21" fillId="3" borderId="0" xfId="0" applyNumberFormat="1" applyFont="1" applyFill="1" applyBorder="1" applyAlignment="1">
      <x:alignment horizontal="center" vertical="center" wrapText="1"/>
    </x:xf>
    <x:xf numFmtId="209" fontId="21" fillId="3" borderId="1" xfId="0" applyNumberFormat="1" applyFont="1" applyFill="1" applyBorder="1" applyAlignment="1">
      <x:alignment horizontal="center" vertical="center" wrapText="1"/>
    </x:xf>
    <x:xf numFmtId="209" fontId="22" fillId="3" borderId="0" xfId="0" applyNumberFormat="1" applyFont="1" applyFill="1" applyBorder="1" applyAlignment="1">
      <x:alignment horizontal="center" vertical="center" wrapText="1"/>
    </x:xf>
    <x:xf numFmtId="209" fontId="22" fillId="3" borderId="1" xfId="0" applyNumberFormat="1" applyFont="1" applyFill="1" applyBorder="1" applyAlignment="1">
      <x:alignment horizontal="center" vertical="center" wrapText="1"/>
    </x:xf>
    <x:xf numFmtId="209" fontId="6" fillId="6" borderId="2" xfId="0" applyNumberFormat="1" applyFont="1" applyFill="1" applyBorder="1" applyAlignment="1">
      <x:alignment vertical="center"/>
    </x:xf>
    <x:xf numFmtId="206" fontId="24" fillId="3" borderId="0" xfId="0" applyNumberFormat="1" applyFont="1" applyFill="1" applyBorder="1" applyAlignment="1">
      <x:alignment horizontal="center" vertical="center" wrapText="1"/>
    </x:xf>
    <x:xf numFmtId="209" fontId="25" fillId="3" borderId="0" xfId="0" applyNumberFormat="1" applyFont="1" applyFill="1" applyBorder="1" applyAlignment="1">
      <x:alignment horizontal="center" vertical="center" wrapText="1"/>
    </x:xf>
    <x:xf numFmtId="209" fontId="25" fillId="6" borderId="2" xfId="0" applyNumberFormat="1" applyFont="1" applyFill="1" applyBorder="1" applyAlignment="1">
      <x:alignment vertical="center"/>
    </x:xf>
    <x:xf numFmtId="200" fontId="26" fillId="0" borderId="0" xfId="0" applyNumberFormat="1" applyFont="1" applyFill="1" applyBorder="1" applyAlignment="1">
      <x:alignment vertical="center"/>
    </x:xf>
    <x:xf numFmtId="201" fontId="26" fillId="0" borderId="0" xfId="0" applyNumberFormat="1" applyFont="1" applyFill="1" applyBorder="1" applyAlignment="1">
      <x:alignment vertical="center"/>
    </x:xf>
    <x:xf numFmtId="207" fontId="26" fillId="0" borderId="0" xfId="0" applyNumberFormat="1" applyFont="1" applyFill="1" applyBorder="1" applyAlignment="1">
      <x:alignment vertical="center"/>
    </x:xf>
    <x:xf numFmtId="0" fontId="27" fillId="0" borderId="0" xfId="0" applyNumberFormat="1" applyFont="1" applyFill="1" applyBorder="1" applyAlignment="1">
      <x:alignment vertical="center"/>
    </x:xf>
    <x:xf numFmtId="0" fontId="28" fillId="0" borderId="0" xfId="0" applyNumberFormat="1" applyFont="1" applyFill="1" applyBorder="1" applyAlignment="1">
      <x:alignment vertical="center"/>
    </x:xf>
    <x:xf numFmtId="0" fontId="29" fillId="0" borderId="0" xfId="0" applyNumberFormat="1" applyFont="1" applyFill="1" applyBorder="1" applyAlignment="1">
      <x:alignment vertical="center"/>
    </x:xf>
    <x:xf numFmtId="201" fontId="30" fillId="5" borderId="0" xfId="0" applyNumberFormat="1" applyFont="1" applyFill="1" applyBorder="1" applyAlignment="1">
      <x:alignment vertical="center"/>
    </x:xf>
    <x:xf numFmtId="210" fontId="27" fillId="0" borderId="0" xfId="0" applyNumberFormat="1" applyFont="1" applyFill="1" applyBorder="1" applyAlignment="1">
      <x:alignment vertical="center"/>
    </x:xf>
    <x:xf numFmtId="210" fontId="28" fillId="0" borderId="0" xfId="0" applyNumberFormat="1" applyFont="1" applyFill="1" applyBorder="1" applyAlignment="1">
      <x:alignment vertical="center"/>
    </x:xf>
    <x:xf numFmtId="210" fontId="29" fillId="0" borderId="0" xfId="0" applyNumberFormat="1" applyFont="1" applyFill="1" applyBorder="1" applyAlignment="1">
      <x:alignment vertical="center"/>
    </x:xf>
    <x:xf numFmtId="210" fontId="27" fillId="7" borderId="0" xfId="0" applyNumberFormat="1" applyFont="1" applyFill="1" applyBorder="1" applyAlignment="1">
      <x:alignment vertical="center"/>
    </x:xf>
    <x:xf numFmtId="0" fontId="28" fillId="7" borderId="0" xfId="0" applyNumberFormat="1" applyFont="1" applyFill="1" applyBorder="1" applyAlignment="1">
      <x:alignment vertical="center"/>
    </x:xf>
    <x:xf numFmtId="210" fontId="28" fillId="7" borderId="0" xfId="0" applyNumberFormat="1" applyFont="1" applyFill="1" applyBorder="1" applyAlignment="1">
      <x:alignment vertical="center"/>
    </x:xf>
    <x:xf numFmtId="210" fontId="29" fillId="7" borderId="0" xfId="0" applyNumberFormat="1" applyFont="1" applyFill="1" applyBorder="1" applyAlignment="1">
      <x:alignment vertical="center"/>
    </x:xf>
    <x:xf numFmtId="201" fontId="24" fillId="3" borderId="0" xfId="0" applyNumberFormat="1" applyFont="1" applyFill="1" applyBorder="1" applyAlignment="1">
      <x:alignment horizontal="center" vertical="center" wrapText="1"/>
    </x:xf>
    <x:xf numFmtId="201" fontId="30" fillId="0" borderId="0" xfId="0" applyNumberFormat="1" applyFont="1" applyFill="1" applyBorder="1" applyAlignment="1">
      <x:alignment vertical="center"/>
    </x:xf>
    <x:xf numFmtId="206" fontId="30" fillId="0" borderId="0" xfId="0" applyNumberFormat="1" applyFont="1" applyFill="1" applyBorder="1" applyAlignment="1">
      <x:alignment vertical="center"/>
    </x:xf>
    <x:xf numFmtId="0" fontId="30" fillId="0" borderId="0" xfId="0" applyNumberFormat="1" applyFont="1" applyFill="1" applyBorder="1" applyAlignment="1">
      <x:alignment vertical="center"/>
    </x:xf>
    <x:xf numFmtId="200" fontId="30" fillId="0" borderId="0" xfId="0" applyNumberFormat="1" applyFont="1" applyFill="1" applyBorder="1" applyAlignment="1">
      <x:alignment vertical="center"/>
    </x:xf>
    <x:xf numFmtId="0" fontId="26" fillId="0" borderId="0" xfId="0" applyNumberFormat="1" applyFont="1" applyFill="1" applyBorder="1" applyAlignment="1">
      <x:alignment vertical="center"/>
    </x:xf>
    <x:xf numFmtId="201" fontId="26" fillId="5" borderId="0" xfId="0" applyNumberFormat="1" applyFont="1" applyFill="1" applyBorder="1" applyAlignment="1">
      <x:alignment vertical="center"/>
    </x:xf>
    <x:xf numFmtId="210" fontId="30" fillId="0" borderId="0" xfId="0" applyNumberFormat="1" applyFont="1" applyFill="1" applyBorder="1" applyAlignment="1">
      <x:alignment vertical="center"/>
    </x:xf>
    <x:xf numFmtId="207" fontId="30" fillId="0" borderId="0" xfId="0" applyNumberFormat="1" applyFont="1" applyFill="1" applyBorder="1" applyAlignment="1">
      <x:alignment vertical="center"/>
    </x:xf>
    <x:xf numFmtId="211" fontId="29" fillId="0" borderId="0" xfId="0" applyNumberFormat="1" applyFont="1" applyFill="1" applyBorder="1" applyAlignment="1">
      <x:alignment vertical="center"/>
    </x:xf>
    <x:xf numFmtId="0" fontId="3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fed5515999413c" /><Relationship Type="http://schemas.openxmlformats.org/officeDocument/2006/relationships/theme" Target="/xl/theme/theme1.xml" Id="Reeabd61a9b8c41ff" /><Relationship Type="http://schemas.openxmlformats.org/officeDocument/2006/relationships/sharedStrings" Target="/xl/sharedStrings.xml" Id="Re4fdf4efe800478d" /><Relationship Type="http://schemas.openxmlformats.org/officeDocument/2006/relationships/worksheet" Target="/xl/worksheets/sheet1.xml" Id="Rcb42559f658f4d41" /><Relationship Type="http://schemas.openxmlformats.org/officeDocument/2006/relationships/worksheet" Target="/xl/worksheets/sheet2.xml" Id="Rbe1e4516213545d6" /><Relationship Type="http://schemas.openxmlformats.org/officeDocument/2006/relationships/worksheet" Target="/xl/worksheets/sheet3.xml" Id="R0abb072aaeb84e0d" /><Relationship Type="http://schemas.openxmlformats.org/officeDocument/2006/relationships/worksheet" Target="/xl/worksheets/sheet4.xml" Id="Rd887086e344f4725" /><Relationship Type="http://schemas.openxmlformats.org/officeDocument/2006/relationships/worksheet" Target="/xl/worksheets/sheet5.xml" Id="R938c6187c8e94ae8" /><Relationship Type="http://schemas.openxmlformats.org/officeDocument/2006/relationships/worksheet" Target="/xl/worksheets/sheet6.xml" Id="R77fbdd430ace4237" /><Relationship Type="http://schemas.openxmlformats.org/officeDocument/2006/relationships/worksheet" Target="/xl/worksheets/sheet7.xml" Id="Ref3c0b711f5f496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562ab8ad4064b52" /><Relationship Type="http://schemas.openxmlformats.org/officeDocument/2006/relationships/chart" Target="/xl/drawings/charts/chart2.xml" Id="R249a8d361ade4519" /><Relationship Type="http://schemas.openxmlformats.org/officeDocument/2006/relationships/chart" Target="/xl/drawings/charts/chart3.xml" Id="R0397a10e44ec491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fb432a7cd8724628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56d80dc344884e2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Growth &amp; Volume: 2020–2024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Series 1</c:v>
          </c:tx>
          <c:marker>
            <c:symbol val="none"/>
          </c:marker>
          <c:cat>
            <c:strRef>
              <c:f>'Historicals'!$C$4:$C$8</c:f>
              <c:strCache>
                <c:ptCount val="0"/>
              </c:strCache>
            </c:strRef>
          </c:cat>
          <c:val>
            <c:numRef>
              <c:f>'Historicals'!$D$4:$D$8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Series 2</c:v>
          </c:tx>
          <c:marker>
            <c:symbol val="none"/>
          </c:marker>
          <c:cat>
            <c:strRef>
              <c:f>'Historicals'!$C$4:$C$8</c:f>
              <c:strCache>
                <c:ptCount val="0"/>
              </c:strCache>
            </c:strRef>
          </c:cat>
          <c:val>
            <c:numRef>
              <c:f>'Historicals'!$E$4:$E$8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Series 3</c:v>
          </c:tx>
          <c:marker>
            <c:symbol val="none"/>
          </c:marker>
          <c:cat>
            <c:strRef>
              <c:f>'Historicals'!$C$4:$C$8</c:f>
              <c:strCache>
                <c:ptCount val="0"/>
              </c:strCache>
            </c:strRef>
          </c:cat>
          <c:val>
            <c:numRef>
              <c:f>'Historicals'!$F$4:$F$8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Series 4</c:v>
          </c:tx>
          <c:marker>
            <c:symbol val="none"/>
          </c:marker>
          <c:cat>
            <c:strRef>
              <c:f>'Historicals'!$C$4:$C$8</c:f>
              <c:strCache>
                <c:ptCount val="0"/>
              </c:strCache>
            </c:strRef>
          </c:cat>
          <c:val>
            <c:numRef>
              <c:f>'Historicals'!$G$4:$G$8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Series 1</c:v>
          </c:tx>
          <c:marker>
            <c:symbol val="none"/>
          </c:marker>
          <c:cat>
            <c:strRef>
              <c:f>'Historicals'!$C$4:$C$5</c:f>
              <c:strCache>
                <c:ptCount val="0"/>
              </c:strCache>
            </c:strRef>
          </c:cat>
          <c:val>
            <c:numRef>
              <c:f>'Historicals'!$D$4:$D$5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Series 2</c:v>
          </c:tx>
          <c:marker>
            <c:symbol val="none"/>
          </c:marker>
          <c:cat>
            <c:strRef>
              <c:f>'Historicals'!$C$4:$C$5</c:f>
              <c:strCache>
                <c:ptCount val="0"/>
              </c:strCache>
            </c:strRef>
          </c:cat>
          <c:val>
            <c:numRef>
              <c:f>'Historicals'!$E$4:$E$5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Series 3</c:v>
          </c:tx>
          <c:marker>
            <c:symbol val="none"/>
          </c:marker>
          <c:cat>
            <c:strRef>
              <c:f>'Historicals'!$C$4:$C$5</c:f>
              <c:strCache>
                <c:ptCount val="0"/>
              </c:strCache>
            </c:strRef>
          </c:cat>
          <c:val>
            <c:numRef>
              <c:f>'Historicals'!$F$4:$F$5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Series 4</c:v>
          </c:tx>
          <c:marker>
            <c:symbol val="none"/>
          </c:marker>
          <c:cat>
            <c:strRef>
              <c:f>'Historicals'!$C$4:$C$5</c:f>
              <c:strCache>
                <c:ptCount val="0"/>
              </c:strCache>
            </c:strRef>
          </c:cat>
          <c:val>
            <c:numRef>
              <c:f>'Historicals'!$G$4:$G$5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Turnover (€bn)</c:v>
          </c:tx>
          <c:marker>
            <c:symbol val="none"/>
          </c:marker>
          <c:cat>
            <c:strRef>
              <c:f>'Historicals'!$C$4:$G$4</c:f>
              <c:strCache>
                <c:ptCount val="0"/>
              </c:strCache>
            </c:strRef>
          </c:cat>
          <c:val>
            <c:numRef>
              <c:f>'Historicals'!$C$5:$G$5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Free Cash Flow (€bn)</c:v>
          </c:tx>
          <c:marker>
            <c:symbol val="none"/>
          </c:marker>
          <c:cat>
            <c:strRef>
              <c:f>'Historicals'!$C$4:$G$4</c:f>
              <c:strCache>
                <c:ptCount val="0"/>
              </c:strCache>
            </c:strRef>
          </c:cat>
          <c:val>
            <c:numRef>
              <c:f>'Historicals'!$C$17:$G$17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ROE</c:v>
          </c:tx>
          <c:marker>
            <c:symbol val="none"/>
          </c:marker>
          <c:cat>
            <c:strRef>
              <c:f>'ROE_DuPont'!$C$4:$G$4</c:f>
              <c:strCache>
                <c:ptCount val="0"/>
              </c:strCache>
            </c:strRef>
          </c:cat>
          <c:val>
            <c:numRef>
              <c:f>'ROE_DuPont'!$C$12:$G$12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Value</c:v>
          </c:tx>
          <c:cat>
            <c:strRef>
              <c:f>'Summary'!$A$8:$A$10</c:f>
              <c:strCache>
                <c:ptCount val="0"/>
              </c:strCache>
            </c:strRef>
          </c:cat>
          <c:val>
            <c:numRef>
              <c:f>'Summary'!$C$8:$C$10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562ab8ad4064b5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8</xdr:col>
      <xdr:colOff>0</xdr:colOff>
      <xdr:row>14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49a8d361ade4519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17</xdr:col>
      <xdr:colOff>0</xdr:colOff>
      <xdr:row>32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397a10e44ec491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10</xdr:col>
      <xdr:colOff>0</xdr:colOff>
      <xdr:row>2</xdr:row>
      <xdr:rowOff>0</xdr:rowOff>
    </xdr:from>
    <xdr:to>
      <xdr:col>18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b432a7cd872462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9</xdr:col>
      <xdr:colOff>0</xdr:colOff>
      <xdr:row>5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6d80dc344884e2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atvik Sahni Finance">
  <a:themeElements>
    <a:clrScheme name="Satvik Sahni Finan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atvik Sahni Finan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3c009d976e07422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57cb9c3249ab4fb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3.xml" Id="Rad325887f94e4232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68" hidden="0" customWidth="1"/>
    <x:col min="4" max="4" width="34" hidden="0" customWidth="1"/>
  </x:cols>
  <x:sheetData>
    <x:row r="1" ht="28" customHeight="1">
      <x:c r="A1" s="26" t="str">
        <x:v>Sources &amp; Model Conventions</x:v>
      </x:c>
      <x:c r="B1" s="26" t="str">
        <x:v>Sources &amp; Model Conventions</x:v>
      </x:c>
      <x:c r="C1" s="26" t="str">
        <x:v>Sources &amp; Model Conventions</x:v>
      </x:c>
      <x:c r="D1" s="26" t="str">
        <x:v>Sources &amp; Model Conventions</x:v>
      </x:c>
      <x:c r="E1" s="234"/>
      <x:c r="F1" s="234"/>
      <x:c r="G1" s="234"/>
      <x:c r="H1" s="234"/>
      <x:c r="I1" s="234"/>
      <x:c r="J1" s="234"/>
      <x:c r="K1" s="234"/>
      <x:c r="L1" s="234"/>
      <x:c r="M1" s="234"/>
      <x:c r="N1" s="234"/>
      <x:c r="O1" s="234"/>
      <x:c r="P1" s="234"/>
      <x:c r="Q1" s="234"/>
      <x:c r="R1" s="234"/>
      <x:c r="S1" s="234"/>
      <x:c r="T1" s="234"/>
      <x:c r="U1" s="234"/>
      <x:c r="V1" s="234"/>
      <x:c r="W1" s="234"/>
      <x:c r="X1" s="234"/>
      <x:c r="Y1" s="234"/>
      <x:c r="Z1" s="234"/>
    </x:row>
    <x:row r="2">
      <x:c r="A2" s="235"/>
      <x:c r="B2" s="235"/>
      <x:c r="C2" s="235"/>
      <x:c r="D2" s="235"/>
      <x:c r="E2" s="234"/>
      <x:c r="F2" s="234"/>
      <x:c r="G2" s="234"/>
      <x:c r="H2" s="234"/>
      <x:c r="I2" s="234"/>
      <x:c r="J2" s="234"/>
      <x:c r="K2" s="234"/>
      <x:c r="L2" s="234"/>
      <x:c r="M2" s="234"/>
      <x:c r="N2" s="234"/>
      <x:c r="O2" s="234"/>
      <x:c r="P2" s="234"/>
      <x:c r="Q2" s="234"/>
      <x:c r="R2" s="234"/>
      <x:c r="S2" s="234"/>
      <x:c r="T2" s="234"/>
      <x:c r="U2" s="234"/>
      <x:c r="V2" s="234"/>
      <x:c r="W2" s="234"/>
      <x:c r="X2" s="234"/>
      <x:c r="Y2" s="234"/>
      <x:c r="Z2" s="234"/>
    </x:row>
    <x:row r="3">
      <x:c r="A3" s="28" t="str">
        <x:v>Source ID</x:v>
      </x:c>
      <x:c r="B3" s="28" t="str">
        <x:v>Description</x:v>
      </x:c>
      <x:c r="C3" s="28" t="str">
        <x:v>URL</x:v>
      </x:c>
      <x:c r="D3" s="28" t="str">
        <x:v>Use</x:v>
      </x:c>
      <x:c r="E3" s="234"/>
      <x:c r="F3" s="234"/>
      <x:c r="G3" s="234"/>
      <x:c r="H3" s="234"/>
      <x:c r="I3" s="234"/>
      <x:c r="J3" s="234"/>
      <x:c r="K3" s="234"/>
      <x:c r="L3" s="234"/>
      <x:c r="M3" s="234"/>
      <x:c r="N3" s="234"/>
      <x:c r="O3" s="234"/>
      <x:c r="P3" s="234"/>
      <x:c r="Q3" s="234"/>
      <x:c r="R3" s="234"/>
      <x:c r="S3" s="234"/>
      <x:c r="T3" s="234"/>
      <x:c r="U3" s="234"/>
      <x:c r="V3" s="234"/>
      <x:c r="W3" s="234"/>
      <x:c r="X3" s="234"/>
      <x:c r="Y3" s="234"/>
      <x:c r="Z3" s="234"/>
    </x:row>
    <x:row r="4">
      <x:c r="A4" s="273" t="str">
        <x:v>U20</x:v>
      </x:c>
      <x:c r="B4" s="252" t="str">
        <x:v>Unilever Annual Report and Accounts 2020</x:v>
      </x:c>
      <x:c r="C4" s="318" t="str">
        <x:v>https://www.unilever.com/files/origin/e665693f2bd2efbbde5658baf84043df7937cfd7.pdf/annual-report-and-accounts-2020.pdf</x:v>
      </x:c>
      <x:c r="D4" s="252" t="str">
        <x:v>2019-20 balance sheet; 2020 performance</x:v>
      </x:c>
      <x:c r="E4" s="234"/>
      <x:c r="F4" s="234"/>
      <x:c r="G4" s="234"/>
      <x:c r="H4" s="234"/>
      <x:c r="I4" s="234"/>
      <x:c r="J4" s="234"/>
      <x:c r="K4" s="234"/>
      <x:c r="L4" s="234"/>
      <x:c r="M4" s="234"/>
      <x:c r="N4" s="234"/>
      <x:c r="O4" s="234"/>
      <x:c r="P4" s="234"/>
      <x:c r="Q4" s="234"/>
      <x:c r="R4" s="234"/>
      <x:c r="S4" s="234"/>
      <x:c r="T4" s="234"/>
      <x:c r="U4" s="234"/>
      <x:c r="V4" s="234"/>
      <x:c r="W4" s="234"/>
      <x:c r="X4" s="234"/>
      <x:c r="Y4" s="234"/>
      <x:c r="Z4" s="234"/>
    </x:row>
    <x:row r="5">
      <x:c r="A5" s="273" t="str">
        <x:v>U21</x:v>
      </x:c>
      <x:c r="B5" s="252" t="str">
        <x:v>Unilever Annual Report and Accounts 2021</x:v>
      </x:c>
      <x:c r="C5" s="318" t="str">
        <x:v>https://www.unilever.com/files/annual-report-and-accounts-2021.pdf</x:v>
      </x:c>
      <x:c r="D5" s="252" t="str">
        <x:v>2020-21 income statement, cash flow, KPIs</x:v>
      </x:c>
      <x:c r="E5" s="234"/>
      <x:c r="F5" s="234"/>
      <x:c r="G5" s="234"/>
      <x:c r="H5" s="234"/>
      <x:c r="I5" s="234"/>
      <x:c r="J5" s="234"/>
      <x:c r="K5" s="234"/>
      <x:c r="L5" s="234"/>
      <x:c r="M5" s="234"/>
      <x:c r="N5" s="234"/>
      <x:c r="O5" s="234"/>
      <x:c r="P5" s="234"/>
      <x:c r="Q5" s="234"/>
      <x:c r="R5" s="234"/>
      <x:c r="S5" s="234"/>
      <x:c r="T5" s="234"/>
      <x:c r="U5" s="234"/>
      <x:c r="V5" s="234"/>
      <x:c r="W5" s="234"/>
      <x:c r="X5" s="234"/>
      <x:c r="Y5" s="234"/>
      <x:c r="Z5" s="234"/>
    </x:row>
    <x:row r="6">
      <x:c r="A6" s="273" t="str">
        <x:v>U23</x:v>
      </x:c>
      <x:c r="B6" s="252" t="str">
        <x:v>Unilever Annual Report and Accounts 2023</x:v>
      </x:c>
      <x:c r="C6" s="318" t="str">
        <x:v>https://www.unilever.com/files/66bc4aea-608f-46ee-8da3-cde0ec8ebe90/unilever-annual-report-and-accounts-2023.pdf</x:v>
      </x:c>
      <x:c r="D6" s="252" t="str">
        <x:v>2021-23 financials and non-GAAP reconciliations</x:v>
      </x:c>
      <x:c r="E6" s="234"/>
      <x:c r="F6" s="234"/>
      <x:c r="G6" s="234"/>
      <x:c r="H6" s="234"/>
      <x:c r="I6" s="234"/>
      <x:c r="J6" s="234"/>
      <x:c r="K6" s="234"/>
      <x:c r="L6" s="234"/>
      <x:c r="M6" s="234"/>
      <x:c r="N6" s="234"/>
      <x:c r="O6" s="234"/>
      <x:c r="P6" s="234"/>
      <x:c r="Q6" s="234"/>
      <x:c r="R6" s="234"/>
      <x:c r="S6" s="234"/>
      <x:c r="T6" s="234"/>
      <x:c r="U6" s="234"/>
      <x:c r="V6" s="234"/>
      <x:c r="W6" s="234"/>
      <x:c r="X6" s="234"/>
      <x:c r="Y6" s="234"/>
      <x:c r="Z6" s="234"/>
    </x:row>
    <x:row r="7">
      <x:c r="A7" s="273" t="str">
        <x:v>U24</x:v>
      </x:c>
      <x:c r="B7" s="252" t="str">
        <x:v>Unilever Annual Report and Accounts 2024</x:v>
      </x:c>
      <x:c r="C7" s="318" t="str">
        <x:v>https://www.unilever.com/files/unilever-annual-report-and-accounts-2024.pdf</x:v>
      </x:c>
      <x:c r="D7" s="252" t="str">
        <x:v>2023-24 performance, balance sheet, segment data</x:v>
      </x:c>
      <x:c r="E7" s="234"/>
      <x:c r="F7" s="234"/>
      <x:c r="G7" s="234"/>
      <x:c r="H7" s="234"/>
      <x:c r="I7" s="234"/>
      <x:c r="J7" s="234"/>
      <x:c r="K7" s="234"/>
      <x:c r="L7" s="234"/>
      <x:c r="M7" s="234"/>
      <x:c r="N7" s="234"/>
      <x:c r="O7" s="234"/>
      <x:c r="P7" s="234"/>
      <x:c r="Q7" s="234"/>
      <x:c r="R7" s="234"/>
      <x:c r="S7" s="234"/>
      <x:c r="T7" s="234"/>
      <x:c r="U7" s="234"/>
      <x:c r="V7" s="234"/>
      <x:c r="W7" s="234"/>
      <x:c r="X7" s="234"/>
      <x:c r="Y7" s="234"/>
      <x:c r="Z7" s="234"/>
    </x:row>
    <x:row r="8">
      <x:c r="A8" s="273" t="str">
        <x:v>ECB</x:v>
      </x:c>
      <x:c r="B8" s="252" t="str">
        <x:v>ECB euro FX reference rates, 31 Dec 2024</x:v>
      </x:c>
      <x:c r="C8" s="318" t="str">
        <x:v>https://www.ecb.europa.eu/stats/exchange/eurofxref/shared/pdf/2024/12/20241231.pdf</x:v>
      </x:c>
      <x:c r="D8" s="252" t="str">
        <x:v>EUR/GBP conversion</x:v>
      </x:c>
      <x:c r="E8" s="234"/>
      <x:c r="F8" s="234"/>
      <x:c r="G8" s="234"/>
      <x:c r="H8" s="234"/>
      <x:c r="I8" s="234"/>
      <x:c r="J8" s="234"/>
      <x:c r="K8" s="234"/>
      <x:c r="L8" s="234"/>
      <x:c r="M8" s="234"/>
      <x:c r="N8" s="234"/>
      <x:c r="O8" s="234"/>
      <x:c r="P8" s="234"/>
      <x:c r="Q8" s="234"/>
      <x:c r="R8" s="234"/>
      <x:c r="S8" s="234"/>
      <x:c r="T8" s="234"/>
      <x:c r="U8" s="234"/>
      <x:c r="V8" s="234"/>
      <x:c r="W8" s="234"/>
      <x:c r="X8" s="234"/>
      <x:c r="Y8" s="234"/>
      <x:c r="Z8" s="234"/>
    </x:row>
    <x:row r="9">
      <x:c r="A9" s="273" t="str">
        <x:v>ULVR</x:v>
      </x:c>
      <x:c r="B9" s="252" t="str">
        <x:v>StockAnalysis – Unilever ratios</x:v>
      </x:c>
      <x:c r="C9" s="318" t="str">
        <x:v>https://stockanalysis.com/quote/lon/ULVR/financials/ratios/</x:v>
      </x:c>
      <x:c r="D9" s="252" t="str">
        <x:v>31 Dec 2024 reference share price / market cap</x:v>
      </x:c>
      <x:c r="E9" s="234"/>
      <x:c r="F9" s="234"/>
      <x:c r="G9" s="234"/>
      <x:c r="H9" s="234"/>
      <x:c r="I9" s="234"/>
      <x:c r="J9" s="234"/>
      <x:c r="K9" s="234"/>
      <x:c r="L9" s="234"/>
      <x:c r="M9" s="234"/>
      <x:c r="N9" s="234"/>
      <x:c r="O9" s="234"/>
      <x:c r="P9" s="234"/>
      <x:c r="Q9" s="234"/>
      <x:c r="R9" s="234"/>
      <x:c r="S9" s="234"/>
      <x:c r="T9" s="234"/>
      <x:c r="U9" s="234"/>
      <x:c r="V9" s="234"/>
      <x:c r="W9" s="234"/>
      <x:c r="X9" s="234"/>
      <x:c r="Y9" s="234"/>
      <x:c r="Z9" s="234"/>
    </x:row>
    <x:row r="10">
      <x:c r="A10" s="273" t="str">
        <x:v>PG</x:v>
      </x:c>
      <x:c r="B10" s="252" t="str">
        <x:v>StockAnalysis – Procter &amp; Gamble ratios</x:v>
      </x:c>
      <x:c r="C10" s="318" t="str">
        <x:v>https://stockanalysis.com/stocks/pg/financials/ratios/</x:v>
      </x:c>
      <x:c r="D10" s="252" t="str">
        <x:v>FY2024 P/E and EV/EBITDA</x:v>
      </x:c>
      <x:c r="E10" s="234"/>
      <x:c r="F10" s="234"/>
      <x:c r="G10" s="234"/>
      <x:c r="H10" s="234"/>
      <x:c r="I10" s="234"/>
      <x:c r="J10" s="234"/>
      <x:c r="K10" s="234"/>
      <x:c r="L10" s="234"/>
      <x:c r="M10" s="234"/>
      <x:c r="N10" s="234"/>
      <x:c r="O10" s="234"/>
      <x:c r="P10" s="234"/>
      <x:c r="Q10" s="234"/>
      <x:c r="R10" s="234"/>
      <x:c r="S10" s="234"/>
      <x:c r="T10" s="234"/>
      <x:c r="U10" s="234"/>
      <x:c r="V10" s="234"/>
      <x:c r="W10" s="234"/>
      <x:c r="X10" s="234"/>
      <x:c r="Y10" s="234"/>
      <x:c r="Z10" s="234"/>
    </x:row>
    <x:row r="11">
      <x:c r="A11" s="273" t="str">
        <x:v>CL</x:v>
      </x:c>
      <x:c r="B11" s="252" t="str">
        <x:v>StockAnalysis – Colgate-Palmolive ratios</x:v>
      </x:c>
      <x:c r="C11" s="318" t="str">
        <x:v>https://stockanalysis.com/stocks/cl/financials/ratios/</x:v>
      </x:c>
      <x:c r="D11" s="252" t="str">
        <x:v>FY2024 P/E and EV/EBITDA</x:v>
      </x:c>
      <x:c r="E11" s="234"/>
      <x:c r="F11" s="234"/>
      <x:c r="G11" s="234"/>
      <x:c r="H11" s="234"/>
      <x:c r="I11" s="234"/>
      <x:c r="J11" s="234"/>
      <x:c r="K11" s="234"/>
      <x:c r="L11" s="234"/>
      <x:c r="M11" s="234"/>
      <x:c r="N11" s="234"/>
      <x:c r="O11" s="234"/>
      <x:c r="P11" s="234"/>
      <x:c r="Q11" s="234"/>
      <x:c r="R11" s="234"/>
      <x:c r="S11" s="234"/>
      <x:c r="T11" s="234"/>
      <x:c r="U11" s="234"/>
      <x:c r="V11" s="234"/>
      <x:c r="W11" s="234"/>
      <x:c r="X11" s="234"/>
      <x:c r="Y11" s="234"/>
      <x:c r="Z11" s="234"/>
    </x:row>
    <x:row r="12">
      <x:c r="A12" s="273" t="str">
        <x:v>RKT</x:v>
      </x:c>
      <x:c r="B12" s="252" t="str">
        <x:v>StockAnalysis – Reckitt ratios</x:v>
      </x:c>
      <x:c r="C12" s="318" t="str">
        <x:v>https://stockanalysis.com/quote/lon/RKT/financials/ratios/</x:v>
      </x:c>
      <x:c r="D12" s="252" t="str">
        <x:v>FY2024 P/E and EV/EBITDA</x:v>
      </x:c>
      <x:c r="E12" s="234"/>
      <x:c r="F12" s="234"/>
      <x:c r="G12" s="234"/>
      <x:c r="H12" s="234"/>
      <x:c r="I12" s="234"/>
      <x:c r="J12" s="234"/>
      <x:c r="K12" s="234"/>
      <x:c r="L12" s="234"/>
      <x:c r="M12" s="234"/>
      <x:c r="N12" s="234"/>
      <x:c r="O12" s="234"/>
      <x:c r="P12" s="234"/>
      <x:c r="Q12" s="234"/>
      <x:c r="R12" s="234"/>
      <x:c r="S12" s="234"/>
      <x:c r="T12" s="234"/>
      <x:c r="U12" s="234"/>
      <x:c r="V12" s="234"/>
      <x:c r="W12" s="234"/>
      <x:c r="X12" s="234"/>
      <x:c r="Y12" s="234"/>
      <x:c r="Z12" s="234"/>
    </x:row>
    <x:row r="13">
      <x:c r="A13" s="273" t="str">
        <x:v>BN</x:v>
      </x:c>
      <x:c r="B13" s="252" t="str">
        <x:v>StockAnalysis – Danone ratios</x:v>
      </x:c>
      <x:c r="C13" s="318" t="str">
        <x:v>https://stockanalysis.com/quote/epa/BN/financials/ratios/</x:v>
      </x:c>
      <x:c r="D13" s="252" t="str">
        <x:v>FY2024 P/E and EV/EBITDA</x:v>
      </x:c>
      <x:c r="E13" s="234"/>
      <x:c r="F13" s="234"/>
      <x:c r="G13" s="234"/>
      <x:c r="H13" s="234"/>
      <x:c r="I13" s="234"/>
      <x:c r="J13" s="234"/>
      <x:c r="K13" s="234"/>
      <x:c r="L13" s="234"/>
      <x:c r="M13" s="234"/>
      <x:c r="N13" s="234"/>
      <x:c r="O13" s="234"/>
      <x:c r="P13" s="234"/>
      <x:c r="Q13" s="234"/>
      <x:c r="R13" s="234"/>
      <x:c r="S13" s="234"/>
      <x:c r="T13" s="234"/>
      <x:c r="U13" s="234"/>
      <x:c r="V13" s="234"/>
      <x:c r="W13" s="234"/>
      <x:c r="X13" s="234"/>
      <x:c r="Y13" s="234"/>
      <x:c r="Z13" s="234"/>
    </x:row>
    <x:row r="14">
      <x:c r="A14" s="273" t="str">
        <x:v>NESN</x:v>
      </x:c>
      <x:c r="B14" s="252" t="str">
        <x:v>StockAnalysis – Nestlé ratios</x:v>
      </x:c>
      <x:c r="C14" s="318" t="str">
        <x:v>https://stockanalysis.com/quote/swx/NESN/financials/ratios/</x:v>
      </x:c>
      <x:c r="D14" s="252" t="str">
        <x:v>FY2024 P/E and EV/EBITDA</x:v>
      </x:c>
      <x:c r="E14" s="234"/>
      <x:c r="F14" s="234"/>
      <x:c r="G14" s="234"/>
      <x:c r="H14" s="234"/>
      <x:c r="I14" s="234"/>
      <x:c r="J14" s="234"/>
      <x:c r="K14" s="234"/>
      <x:c r="L14" s="234"/>
      <x:c r="M14" s="234"/>
      <x:c r="N14" s="234"/>
      <x:c r="O14" s="234"/>
      <x:c r="P14" s="234"/>
      <x:c r="Q14" s="234"/>
      <x:c r="R14" s="234"/>
      <x:c r="S14" s="234"/>
      <x:c r="T14" s="234"/>
      <x:c r="U14" s="234"/>
      <x:c r="V14" s="234"/>
      <x:c r="W14" s="234"/>
      <x:c r="X14" s="234"/>
      <x:c r="Y14" s="234"/>
      <x:c r="Z14" s="234"/>
    </x:row>
    <x:row r="15">
      <x:c r="A15" s="235"/>
      <x:c r="B15" s="235"/>
      <x:c r="C15" s="235"/>
      <x:c r="D15" s="235"/>
      <x:c r="E15" s="234"/>
      <x:c r="F15" s="234"/>
      <x:c r="G15" s="234"/>
      <x:c r="H15" s="234"/>
      <x:c r="I15" s="234"/>
      <x:c r="J15" s="234"/>
      <x:c r="K15" s="234"/>
      <x:c r="L15" s="234"/>
      <x:c r="M15" s="234"/>
      <x:c r="N15" s="234"/>
      <x:c r="O15" s="234"/>
      <x:c r="P15" s="234"/>
      <x:c r="Q15" s="234"/>
      <x:c r="R15" s="234"/>
      <x:c r="S15" s="234"/>
      <x:c r="T15" s="234"/>
      <x:c r="U15" s="234"/>
      <x:c r="V15" s="234"/>
      <x:c r="W15" s="234"/>
      <x:c r="X15" s="234"/>
      <x:c r="Y15" s="234"/>
      <x:c r="Z15" s="234"/>
    </x:row>
    <x:row r="16">
      <x:c r="A16" s="235"/>
      <x:c r="B16" s="235"/>
      <x:c r="C16" s="235"/>
      <x:c r="D16" s="235"/>
      <x:c r="E16" s="234"/>
      <x:c r="F16" s="234"/>
      <x:c r="G16" s="234"/>
      <x:c r="H16" s="234"/>
      <x:c r="I16" s="234"/>
      <x:c r="J16" s="234"/>
      <x:c r="K16" s="234"/>
      <x:c r="L16" s="234"/>
      <x:c r="M16" s="234"/>
      <x:c r="N16" s="234"/>
      <x:c r="O16" s="234"/>
      <x:c r="P16" s="234"/>
      <x:c r="Q16" s="234"/>
      <x:c r="R16" s="234"/>
      <x:c r="S16" s="234"/>
      <x:c r="T16" s="234"/>
      <x:c r="U16" s="234"/>
      <x:c r="V16" s="234"/>
      <x:c r="W16" s="234"/>
      <x:c r="X16" s="234"/>
      <x:c r="Y16" s="234"/>
      <x:c r="Z16" s="234"/>
    </x:row>
    <x:row r="17">
      <x:c r="A17" s="28" t="str">
        <x:v>Convention</x:v>
      </x:c>
      <x:c r="B17" s="28" t="str">
        <x:v>Meaning</x:v>
      </x:c>
      <x:c r="C17" s="28" t="str"/>
      <x:c r="D17" s="28" t="str"/>
      <x:c r="E17" s="234"/>
      <x:c r="F17" s="234"/>
      <x:c r="G17" s="234"/>
      <x:c r="H17" s="234"/>
      <x:c r="I17" s="234"/>
      <x:c r="J17" s="234"/>
      <x:c r="K17" s="234"/>
      <x:c r="L17" s="234"/>
      <x:c r="M17" s="234"/>
      <x:c r="N17" s="234"/>
      <x:c r="O17" s="234"/>
      <x:c r="P17" s="234"/>
      <x:c r="Q17" s="234"/>
      <x:c r="R17" s="234"/>
      <x:c r="S17" s="234"/>
      <x:c r="T17" s="234"/>
      <x:c r="U17" s="234"/>
      <x:c r="V17" s="234"/>
      <x:c r="W17" s="234"/>
      <x:c r="X17" s="234"/>
      <x:c r="Y17" s="234"/>
      <x:c r="Z17" s="234"/>
    </x:row>
    <x:row r="18">
      <x:c r="A18" s="235" t="str">
        <x:v>Blue font</x:v>
      </x:c>
      <x:c r="B18" s="235" t="str">
        <x:v>Hardcoded input / scenario assumption</x:v>
      </x:c>
      <x:c r="C18" s="235" t="str"/>
      <x:c r="D18" s="235" t="str"/>
      <x:c r="E18" s="234"/>
      <x:c r="F18" s="234"/>
      <x:c r="G18" s="234"/>
      <x:c r="H18" s="234"/>
      <x:c r="I18" s="234"/>
      <x:c r="J18" s="234"/>
      <x:c r="K18" s="234"/>
      <x:c r="L18" s="234"/>
      <x:c r="M18" s="234"/>
      <x:c r="N18" s="234"/>
      <x:c r="O18" s="234"/>
      <x:c r="P18" s="234"/>
      <x:c r="Q18" s="234"/>
      <x:c r="R18" s="234"/>
      <x:c r="S18" s="234"/>
      <x:c r="T18" s="234"/>
      <x:c r="U18" s="234"/>
      <x:c r="V18" s="234"/>
      <x:c r="W18" s="234"/>
      <x:c r="X18" s="234"/>
      <x:c r="Y18" s="234"/>
      <x:c r="Z18" s="234"/>
    </x:row>
    <x:row r="19">
      <x:c r="A19" s="235" t="str">
        <x:v>Black font</x:v>
      </x:c>
      <x:c r="B19" s="235" t="str">
        <x:v>Formula / calculation</x:v>
      </x:c>
      <x:c r="C19" s="235" t="str"/>
      <x:c r="D19" s="235" t="str"/>
      <x:c r="E19" s="234"/>
      <x:c r="F19" s="234"/>
      <x:c r="G19" s="234"/>
      <x:c r="H19" s="234"/>
      <x:c r="I19" s="234"/>
      <x:c r="J19" s="234"/>
      <x:c r="K19" s="234"/>
      <x:c r="L19" s="234"/>
      <x:c r="M19" s="234"/>
      <x:c r="N19" s="234"/>
      <x:c r="O19" s="234"/>
      <x:c r="P19" s="234"/>
      <x:c r="Q19" s="234"/>
      <x:c r="R19" s="234"/>
      <x:c r="S19" s="234"/>
      <x:c r="T19" s="234"/>
      <x:c r="U19" s="234"/>
      <x:c r="V19" s="234"/>
      <x:c r="W19" s="234"/>
      <x:c r="X19" s="234"/>
      <x:c r="Y19" s="234"/>
      <x:c r="Z19" s="234"/>
    </x:row>
    <x:row r="20">
      <x:c r="A20" s="235" t="str">
        <x:v>Green font</x:v>
      </x:c>
      <x:c r="B20" s="235" t="str">
        <x:v>Cross-sheet link</x:v>
      </x:c>
      <x:c r="C20" s="235" t="str"/>
      <x:c r="D20" s="235" t="str"/>
      <x:c r="E20" s="234"/>
      <x:c r="F20" s="234"/>
      <x:c r="G20" s="234"/>
      <x:c r="H20" s="234"/>
      <x:c r="I20" s="234"/>
      <x:c r="J20" s="234"/>
      <x:c r="K20" s="234"/>
      <x:c r="L20" s="234"/>
      <x:c r="M20" s="234"/>
      <x:c r="N20" s="234"/>
      <x:c r="O20" s="234"/>
      <x:c r="P20" s="234"/>
      <x:c r="Q20" s="234"/>
      <x:c r="R20" s="234"/>
      <x:c r="S20" s="234"/>
      <x:c r="T20" s="234"/>
      <x:c r="U20" s="234"/>
      <x:c r="V20" s="234"/>
      <x:c r="W20" s="234"/>
      <x:c r="X20" s="234"/>
      <x:c r="Y20" s="234"/>
      <x:c r="Z20" s="234"/>
    </x:row>
    <x:row r="21">
      <x:c r="A21" s="235" t="str">
        <x:v>Yellow fill</x:v>
      </x:c>
      <x:c r="B21" s="235" t="str">
        <x:v>Key assumption requiring review</x:v>
      </x:c>
      <x:c r="C21" s="235" t="str"/>
      <x:c r="D21" s="235" t="str"/>
      <x:c r="E21" s="234"/>
      <x:c r="F21" s="234"/>
      <x:c r="G21" s="234"/>
      <x:c r="H21" s="234"/>
      <x:c r="I21" s="234"/>
      <x:c r="J21" s="234"/>
      <x:c r="K21" s="234"/>
      <x:c r="L21" s="234"/>
      <x:c r="M21" s="234"/>
      <x:c r="N21" s="234"/>
      <x:c r="O21" s="234"/>
      <x:c r="P21" s="234"/>
      <x:c r="Q21" s="234"/>
      <x:c r="R21" s="234"/>
      <x:c r="S21" s="234"/>
      <x:c r="T21" s="234"/>
      <x:c r="U21" s="234"/>
      <x:c r="V21" s="234"/>
      <x:c r="W21" s="234"/>
      <x:c r="X21" s="234"/>
      <x:c r="Y21" s="234"/>
      <x:c r="Z21" s="234"/>
    </x:row>
    <x:row r="22">
      <x:c r="A22" s="235" t="str">
        <x:v>Red parentheses</x:v>
      </x:c>
      <x:c r="B22" s="235" t="str">
        <x:v>Negative values</x:v>
      </x:c>
      <x:c r="C22" s="235" t="str"/>
      <x:c r="D22" s="235" t="str"/>
      <x:c r="E22" s="234"/>
      <x:c r="F22" s="234"/>
      <x:c r="G22" s="234"/>
      <x:c r="H22" s="234"/>
      <x:c r="I22" s="234"/>
      <x:c r="J22" s="234"/>
      <x:c r="K22" s="234"/>
      <x:c r="L22" s="234"/>
      <x:c r="M22" s="234"/>
      <x:c r="N22" s="234"/>
      <x:c r="O22" s="234"/>
      <x:c r="P22" s="234"/>
      <x:c r="Q22" s="234"/>
      <x:c r="R22" s="234"/>
      <x:c r="S22" s="234"/>
      <x:c r="T22" s="234"/>
      <x:c r="U22" s="234"/>
      <x:c r="V22" s="234"/>
      <x:c r="W22" s="234"/>
      <x:c r="X22" s="234"/>
      <x:c r="Y22" s="234"/>
      <x:c r="Z22" s="234"/>
    </x:row>
    <x:row r="23">
      <x:c r="A23" s="235"/>
      <x:c r="B23" s="235"/>
      <x:c r="C23" s="235"/>
      <x:c r="D23" s="235"/>
      <x:c r="E23" s="234"/>
      <x:c r="F23" s="234"/>
      <x:c r="G23" s="234"/>
      <x:c r="H23" s="234"/>
      <x:c r="I23" s="234"/>
      <x:c r="J23" s="234"/>
      <x:c r="K23" s="234"/>
      <x:c r="L23" s="234"/>
      <x:c r="M23" s="234"/>
      <x:c r="N23" s="234"/>
      <x:c r="O23" s="234"/>
      <x:c r="P23" s="234"/>
      <x:c r="Q23" s="234"/>
      <x:c r="R23" s="234"/>
      <x:c r="S23" s="234"/>
      <x:c r="T23" s="234"/>
      <x:c r="U23" s="234"/>
      <x:c r="V23" s="234"/>
      <x:c r="W23" s="234"/>
      <x:c r="X23" s="234"/>
      <x:c r="Y23" s="234"/>
      <x:c r="Z23" s="234"/>
    </x:row>
    <x:row r="24">
      <x:c r="A24" s="235"/>
      <x:c r="B24" s="235"/>
      <x:c r="C24" s="235"/>
      <x:c r="D24" s="235"/>
      <x:c r="E24" s="234"/>
      <x:c r="F24" s="234"/>
      <x:c r="G24" s="234"/>
      <x:c r="H24" s="234"/>
      <x:c r="I24" s="234"/>
      <x:c r="J24" s="234"/>
      <x:c r="K24" s="234"/>
      <x:c r="L24" s="234"/>
      <x:c r="M24" s="234"/>
      <x:c r="N24" s="234"/>
      <x:c r="O24" s="234"/>
      <x:c r="P24" s="234"/>
      <x:c r="Q24" s="234"/>
      <x:c r="R24" s="234"/>
      <x:c r="S24" s="234"/>
      <x:c r="T24" s="234"/>
      <x:c r="U24" s="234"/>
      <x:c r="V24" s="234"/>
      <x:c r="W24" s="234"/>
      <x:c r="X24" s="234"/>
      <x:c r="Y24" s="234"/>
      <x:c r="Z24" s="234"/>
    </x:row>
    <x:row r="25">
      <x:c r="A25" s="235"/>
      <x:c r="B25" s="235"/>
      <x:c r="C25" s="235"/>
      <x:c r="D25" s="235"/>
      <x:c r="E25" s="234"/>
      <x:c r="F25" s="234"/>
      <x:c r="G25" s="234"/>
      <x:c r="H25" s="234"/>
      <x:c r="I25" s="234"/>
      <x:c r="J25" s="234"/>
      <x:c r="K25" s="234"/>
      <x:c r="L25" s="234"/>
      <x:c r="M25" s="234"/>
      <x:c r="N25" s="234"/>
      <x:c r="O25" s="234"/>
      <x:c r="P25" s="234"/>
      <x:c r="Q25" s="234"/>
      <x:c r="R25" s="234"/>
      <x:c r="S25" s="234"/>
      <x:c r="T25" s="234"/>
      <x:c r="U25" s="234"/>
      <x:c r="V25" s="234"/>
      <x:c r="W25" s="234"/>
      <x:c r="X25" s="234"/>
      <x:c r="Y25" s="234"/>
      <x:c r="Z25" s="234"/>
    </x:row>
    <x:row r="26">
      <x:c r="A26" s="235"/>
      <x:c r="B26" s="235"/>
      <x:c r="C26" s="235"/>
      <x:c r="D26" s="235"/>
      <x:c r="E26" s="234"/>
      <x:c r="F26" s="234"/>
      <x:c r="G26" s="234"/>
      <x:c r="H26" s="234"/>
      <x:c r="I26" s="234"/>
      <x:c r="J26" s="234"/>
      <x:c r="K26" s="234"/>
      <x:c r="L26" s="234"/>
      <x:c r="M26" s="234"/>
      <x:c r="N26" s="234"/>
      <x:c r="O26" s="234"/>
      <x:c r="P26" s="234"/>
      <x:c r="Q26" s="234"/>
      <x:c r="R26" s="234"/>
      <x:c r="S26" s="234"/>
      <x:c r="T26" s="234"/>
      <x:c r="U26" s="234"/>
      <x:c r="V26" s="234"/>
      <x:c r="W26" s="234"/>
      <x:c r="X26" s="234"/>
      <x:c r="Y26" s="234"/>
      <x:c r="Z26" s="234"/>
    </x:row>
    <x:row r="27">
      <x:c r="A27" s="235"/>
      <x:c r="B27" s="235"/>
      <x:c r="C27" s="235"/>
      <x:c r="D27" s="235"/>
      <x:c r="E27" s="234"/>
      <x:c r="F27" s="234"/>
      <x:c r="G27" s="234"/>
      <x:c r="H27" s="234"/>
      <x:c r="I27" s="234"/>
      <x:c r="J27" s="234"/>
      <x:c r="K27" s="234"/>
      <x:c r="L27" s="234"/>
      <x:c r="M27" s="234"/>
      <x:c r="N27" s="234"/>
      <x:c r="O27" s="234"/>
      <x:c r="P27" s="234"/>
      <x:c r="Q27" s="234"/>
      <x:c r="R27" s="234"/>
      <x:c r="S27" s="234"/>
      <x:c r="T27" s="234"/>
      <x:c r="U27" s="234"/>
      <x:c r="V27" s="234"/>
      <x:c r="W27" s="234"/>
      <x:c r="X27" s="234"/>
      <x:c r="Y27" s="234"/>
      <x:c r="Z27" s="234"/>
    </x:row>
    <x:row r="28">
      <x:c r="A28" s="235"/>
      <x:c r="B28" s="235"/>
      <x:c r="C28" s="235"/>
      <x:c r="D28" s="235"/>
      <x:c r="E28" s="234"/>
      <x:c r="F28" s="234"/>
      <x:c r="G28" s="234"/>
      <x:c r="H28" s="234"/>
      <x:c r="I28" s="234"/>
      <x:c r="J28" s="234"/>
      <x:c r="K28" s="234"/>
      <x:c r="L28" s="234"/>
      <x:c r="M28" s="234"/>
      <x:c r="N28" s="234"/>
      <x:c r="O28" s="234"/>
      <x:c r="P28" s="234"/>
      <x:c r="Q28" s="234"/>
      <x:c r="R28" s="234"/>
      <x:c r="S28" s="234"/>
      <x:c r="T28" s="234"/>
      <x:c r="U28" s="234"/>
      <x:c r="V28" s="234"/>
      <x:c r="W28" s="234"/>
      <x:c r="X28" s="234"/>
      <x:c r="Y28" s="234"/>
      <x:c r="Z28" s="234"/>
    </x:row>
    <x:row r="29">
      <x:c r="A29" s="235"/>
      <x:c r="B29" s="235"/>
      <x:c r="C29" s="235"/>
      <x:c r="D29" s="235"/>
      <x:c r="E29" s="234"/>
      <x:c r="F29" s="234"/>
      <x:c r="G29" s="234"/>
      <x:c r="H29" s="234"/>
      <x:c r="I29" s="234"/>
      <x:c r="J29" s="234"/>
      <x:c r="K29" s="234"/>
      <x:c r="L29" s="234"/>
      <x:c r="M29" s="234"/>
      <x:c r="N29" s="234"/>
      <x:c r="O29" s="234"/>
      <x:c r="P29" s="234"/>
      <x:c r="Q29" s="234"/>
      <x:c r="R29" s="234"/>
      <x:c r="S29" s="234"/>
      <x:c r="T29" s="234"/>
      <x:c r="U29" s="234"/>
      <x:c r="V29" s="234"/>
      <x:c r="W29" s="234"/>
      <x:c r="X29" s="234"/>
      <x:c r="Y29" s="234"/>
      <x:c r="Z29" s="234"/>
    </x:row>
    <x:row r="30">
      <x:c r="A30" s="235"/>
      <x:c r="B30" s="235"/>
      <x:c r="C30" s="235"/>
      <x:c r="D30" s="235"/>
      <x:c r="E30" s="234"/>
      <x:c r="F30" s="234"/>
      <x:c r="G30" s="234"/>
      <x:c r="H30" s="234"/>
      <x:c r="I30" s="234"/>
      <x:c r="J30" s="234"/>
      <x:c r="K30" s="234"/>
      <x:c r="L30" s="234"/>
      <x:c r="M30" s="234"/>
      <x:c r="N30" s="234"/>
      <x:c r="O30" s="234"/>
      <x:c r="P30" s="234"/>
      <x:c r="Q30" s="234"/>
      <x:c r="R30" s="234"/>
      <x:c r="S30" s="234"/>
      <x:c r="T30" s="234"/>
      <x:c r="U30" s="234"/>
      <x:c r="V30" s="234"/>
      <x:c r="W30" s="234"/>
      <x:c r="X30" s="234"/>
      <x:c r="Y30" s="234"/>
      <x:c r="Z30" s="234"/>
    </x:row>
    <x:row r="31">
      <x:c r="A31" s="234"/>
      <x:c r="B31" s="234"/>
      <x:c r="C31" s="234"/>
      <x:c r="D31" s="234"/>
      <x:c r="E31" s="234"/>
      <x:c r="F31" s="234"/>
      <x:c r="G31" s="234"/>
      <x:c r="H31" s="234"/>
      <x:c r="I31" s="234"/>
      <x:c r="J31" s="234"/>
      <x:c r="K31" s="234"/>
      <x:c r="L31" s="234"/>
      <x:c r="M31" s="234"/>
      <x:c r="N31" s="234"/>
      <x:c r="O31" s="234"/>
      <x:c r="P31" s="234"/>
      <x:c r="Q31" s="234"/>
      <x:c r="R31" s="234"/>
      <x:c r="S31" s="234"/>
      <x:c r="T31" s="234"/>
      <x:c r="U31" s="234"/>
      <x:c r="V31" s="234"/>
      <x:c r="W31" s="234"/>
      <x:c r="X31" s="234"/>
      <x:c r="Y31" s="234"/>
      <x:c r="Z31" s="234"/>
    </x:row>
    <x:row r="32">
      <x:c r="A32" s="234"/>
      <x:c r="B32" s="234"/>
      <x:c r="C32" s="234"/>
      <x:c r="D32" s="234"/>
      <x:c r="E32" s="234"/>
      <x:c r="F32" s="234"/>
      <x:c r="G32" s="234"/>
      <x:c r="H32" s="234"/>
      <x:c r="I32" s="234"/>
      <x:c r="J32" s="234"/>
      <x:c r="K32" s="234"/>
      <x:c r="L32" s="234"/>
      <x:c r="M32" s="234"/>
      <x:c r="N32" s="234"/>
      <x:c r="O32" s="234"/>
      <x:c r="P32" s="234"/>
      <x:c r="Q32" s="234"/>
      <x:c r="R32" s="234"/>
      <x:c r="S32" s="234"/>
      <x:c r="T32" s="234"/>
      <x:c r="U32" s="234"/>
      <x:c r="V32" s="234"/>
      <x:c r="W32" s="234"/>
      <x:c r="X32" s="234"/>
      <x:c r="Y32" s="234"/>
      <x:c r="Z32" s="234"/>
    </x:row>
    <x:row r="33">
      <x:c r="A33" s="234"/>
      <x:c r="B33" s="234"/>
      <x:c r="C33" s="234"/>
      <x:c r="D33" s="234"/>
      <x:c r="E33" s="234"/>
      <x:c r="F33" s="234"/>
      <x:c r="G33" s="234"/>
      <x:c r="H33" s="234"/>
      <x:c r="I33" s="234"/>
      <x:c r="J33" s="234"/>
      <x:c r="K33" s="234"/>
      <x:c r="L33" s="234"/>
      <x:c r="M33" s="234"/>
      <x:c r="N33" s="234"/>
      <x:c r="O33" s="234"/>
      <x:c r="P33" s="234"/>
      <x:c r="Q33" s="234"/>
      <x:c r="R33" s="234"/>
      <x:c r="S33" s="234"/>
      <x:c r="T33" s="234"/>
      <x:c r="U33" s="234"/>
      <x:c r="V33" s="234"/>
      <x:c r="W33" s="234"/>
      <x:c r="X33" s="234"/>
      <x:c r="Y33" s="234"/>
      <x:c r="Z33" s="234"/>
    </x:row>
    <x:row r="34">
      <x:c r="A34" s="234"/>
      <x:c r="B34" s="234"/>
      <x:c r="C34" s="234"/>
      <x:c r="D34" s="234"/>
      <x:c r="E34" s="234"/>
      <x:c r="F34" s="234"/>
      <x:c r="G34" s="234"/>
      <x:c r="H34" s="234"/>
      <x:c r="I34" s="234"/>
      <x:c r="J34" s="234"/>
      <x:c r="K34" s="234"/>
      <x:c r="L34" s="234"/>
      <x:c r="M34" s="234"/>
      <x:c r="N34" s="234"/>
      <x:c r="O34" s="234"/>
      <x:c r="P34" s="234"/>
      <x:c r="Q34" s="234"/>
      <x:c r="R34" s="234"/>
      <x:c r="S34" s="234"/>
      <x:c r="T34" s="234"/>
      <x:c r="U34" s="234"/>
      <x:c r="V34" s="234"/>
      <x:c r="W34" s="234"/>
      <x:c r="X34" s="234"/>
      <x:c r="Y34" s="234"/>
      <x:c r="Z34" s="234"/>
    </x:row>
    <x:row r="35">
      <x:c r="A35" s="234"/>
      <x:c r="B35" s="234"/>
      <x:c r="C35" s="234"/>
      <x:c r="D35" s="234"/>
      <x:c r="E35" s="234"/>
      <x:c r="F35" s="234"/>
      <x:c r="G35" s="234"/>
      <x:c r="H35" s="234"/>
      <x:c r="I35" s="234"/>
      <x:c r="J35" s="234"/>
      <x:c r="K35" s="234"/>
      <x:c r="L35" s="234"/>
      <x:c r="M35" s="234"/>
      <x:c r="N35" s="234"/>
      <x:c r="O35" s="234"/>
      <x:c r="P35" s="234"/>
      <x:c r="Q35" s="234"/>
      <x:c r="R35" s="234"/>
      <x:c r="S35" s="234"/>
      <x:c r="T35" s="234"/>
      <x:c r="U35" s="234"/>
      <x:c r="V35" s="234"/>
      <x:c r="W35" s="234"/>
      <x:c r="X35" s="234"/>
      <x:c r="Y35" s="234"/>
      <x:c r="Z35" s="234"/>
    </x:row>
    <x:row r="36">
      <x:c r="A36" s="234"/>
      <x:c r="B36" s="234"/>
      <x:c r="C36" s="234"/>
      <x:c r="D36" s="234"/>
      <x:c r="E36" s="234"/>
      <x:c r="F36" s="234"/>
      <x:c r="G36" s="234"/>
      <x:c r="H36" s="234"/>
      <x:c r="I36" s="234"/>
      <x:c r="J36" s="234"/>
      <x:c r="K36" s="234"/>
      <x:c r="L36" s="234"/>
      <x:c r="M36" s="234"/>
      <x:c r="N36" s="234"/>
      <x:c r="O36" s="234"/>
      <x:c r="P36" s="234"/>
      <x:c r="Q36" s="234"/>
      <x:c r="R36" s="234"/>
      <x:c r="S36" s="234"/>
      <x:c r="T36" s="234"/>
      <x:c r="U36" s="234"/>
      <x:c r="V36" s="234"/>
      <x:c r="W36" s="234"/>
      <x:c r="X36" s="234"/>
      <x:c r="Y36" s="234"/>
      <x:c r="Z36" s="234"/>
    </x:row>
    <x:row r="37">
      <x:c r="A37" s="234"/>
      <x:c r="B37" s="234"/>
      <x:c r="C37" s="234"/>
      <x:c r="D37" s="234"/>
      <x:c r="E37" s="234"/>
      <x:c r="F37" s="234"/>
      <x:c r="G37" s="234"/>
      <x:c r="H37" s="234"/>
      <x:c r="I37" s="234"/>
      <x:c r="J37" s="234"/>
      <x:c r="K37" s="234"/>
      <x:c r="L37" s="234"/>
      <x:c r="M37" s="234"/>
      <x:c r="N37" s="234"/>
      <x:c r="O37" s="234"/>
      <x:c r="P37" s="234"/>
      <x:c r="Q37" s="234"/>
      <x:c r="R37" s="234"/>
      <x:c r="S37" s="234"/>
      <x:c r="T37" s="234"/>
      <x:c r="U37" s="234"/>
      <x:c r="V37" s="234"/>
      <x:c r="W37" s="234"/>
      <x:c r="X37" s="234"/>
      <x:c r="Y37" s="234"/>
      <x:c r="Z37" s="234"/>
    </x:row>
    <x:row r="38">
      <x:c r="A38" s="234"/>
      <x:c r="B38" s="234"/>
      <x:c r="C38" s="234"/>
      <x:c r="D38" s="234"/>
      <x:c r="E38" s="234"/>
      <x:c r="F38" s="234"/>
      <x:c r="G38" s="234"/>
      <x:c r="H38" s="234"/>
      <x:c r="I38" s="234"/>
      <x:c r="J38" s="234"/>
      <x:c r="K38" s="234"/>
      <x:c r="L38" s="234"/>
      <x:c r="M38" s="234"/>
      <x:c r="N38" s="234"/>
      <x:c r="O38" s="234"/>
      <x:c r="P38" s="234"/>
      <x:c r="Q38" s="234"/>
      <x:c r="R38" s="234"/>
      <x:c r="S38" s="234"/>
      <x:c r="T38" s="234"/>
      <x:c r="U38" s="234"/>
      <x:c r="V38" s="234"/>
      <x:c r="W38" s="234"/>
      <x:c r="X38" s="234"/>
      <x:c r="Y38" s="234"/>
      <x:c r="Z38" s="234"/>
    </x:row>
    <x:row r="39">
      <x:c r="A39" s="234"/>
      <x:c r="B39" s="234"/>
      <x:c r="C39" s="234"/>
      <x:c r="D39" s="234"/>
      <x:c r="E39" s="234"/>
      <x:c r="F39" s="234"/>
      <x:c r="G39" s="234"/>
      <x:c r="H39" s="234"/>
      <x:c r="I39" s="234"/>
      <x:c r="J39" s="234"/>
      <x:c r="K39" s="234"/>
      <x:c r="L39" s="234"/>
      <x:c r="M39" s="234"/>
      <x:c r="N39" s="234"/>
      <x:c r="O39" s="234"/>
      <x:c r="P39" s="234"/>
      <x:c r="Q39" s="234"/>
      <x:c r="R39" s="234"/>
      <x:c r="S39" s="234"/>
      <x:c r="T39" s="234"/>
      <x:c r="U39" s="234"/>
      <x:c r="V39" s="234"/>
      <x:c r="W39" s="234"/>
      <x:c r="X39" s="234"/>
      <x:c r="Y39" s="234"/>
      <x:c r="Z39" s="234"/>
    </x:row>
    <x:row r="40">
      <x:c r="A40" s="234"/>
      <x:c r="B40" s="234"/>
      <x:c r="C40" s="234"/>
      <x:c r="D40" s="234"/>
      <x:c r="E40" s="234"/>
      <x:c r="F40" s="234"/>
      <x:c r="G40" s="234"/>
      <x:c r="H40" s="234"/>
      <x:c r="I40" s="234"/>
      <x:c r="J40" s="234"/>
      <x:c r="K40" s="234"/>
      <x:c r="L40" s="234"/>
      <x:c r="M40" s="234"/>
      <x:c r="N40" s="234"/>
      <x:c r="O40" s="234"/>
      <x:c r="P40" s="234"/>
      <x:c r="Q40" s="234"/>
      <x:c r="R40" s="234"/>
      <x:c r="S40" s="234"/>
      <x:c r="T40" s="234"/>
      <x:c r="U40" s="234"/>
      <x:c r="V40" s="234"/>
      <x:c r="W40" s="234"/>
      <x:c r="X40" s="234"/>
      <x:c r="Y40" s="234"/>
      <x:c r="Z40" s="234"/>
    </x:row>
    <x:row r="41">
      <x:c r="A41" s="234"/>
      <x:c r="B41" s="234"/>
      <x:c r="C41" s="234"/>
      <x:c r="D41" s="234"/>
      <x:c r="E41" s="234"/>
      <x:c r="F41" s="234"/>
      <x:c r="G41" s="234"/>
      <x:c r="H41" s="234"/>
      <x:c r="I41" s="234"/>
      <x:c r="J41" s="234"/>
      <x:c r="K41" s="234"/>
      <x:c r="L41" s="234"/>
      <x:c r="M41" s="234"/>
      <x:c r="N41" s="234"/>
      <x:c r="O41" s="234"/>
      <x:c r="P41" s="234"/>
      <x:c r="Q41" s="234"/>
      <x:c r="R41" s="234"/>
      <x:c r="S41" s="234"/>
      <x:c r="T41" s="234"/>
      <x:c r="U41" s="234"/>
      <x:c r="V41" s="234"/>
      <x:c r="W41" s="234"/>
      <x:c r="X41" s="234"/>
      <x:c r="Y41" s="234"/>
      <x:c r="Z41" s="234"/>
    </x:row>
    <x:row r="42">
      <x:c r="A42" s="234"/>
      <x:c r="B42" s="234"/>
      <x:c r="C42" s="234"/>
      <x:c r="D42" s="234"/>
      <x:c r="E42" s="234"/>
      <x:c r="F42" s="234"/>
      <x:c r="G42" s="234"/>
      <x:c r="H42" s="234"/>
      <x:c r="I42" s="234"/>
      <x:c r="J42" s="234"/>
      <x:c r="K42" s="234"/>
      <x:c r="L42" s="234"/>
      <x:c r="M42" s="234"/>
      <x:c r="N42" s="234"/>
      <x:c r="O42" s="234"/>
      <x:c r="P42" s="234"/>
      <x:c r="Q42" s="234"/>
      <x:c r="R42" s="234"/>
      <x:c r="S42" s="234"/>
      <x:c r="T42" s="234"/>
      <x:c r="U42" s="234"/>
      <x:c r="V42" s="234"/>
      <x:c r="W42" s="234"/>
      <x:c r="X42" s="234"/>
      <x:c r="Y42" s="234"/>
      <x:c r="Z42" s="234"/>
    </x:row>
    <x:row r="43">
      <x:c r="A43" s="234"/>
      <x:c r="B43" s="234"/>
      <x:c r="C43" s="234"/>
      <x:c r="D43" s="234"/>
      <x:c r="E43" s="234"/>
      <x:c r="F43" s="234"/>
      <x:c r="G43" s="234"/>
      <x:c r="H43" s="234"/>
      <x:c r="I43" s="234"/>
      <x:c r="J43" s="234"/>
      <x:c r="K43" s="234"/>
      <x:c r="L43" s="234"/>
      <x:c r="M43" s="234"/>
      <x:c r="N43" s="234"/>
      <x:c r="O43" s="234"/>
      <x:c r="P43" s="234"/>
      <x:c r="Q43" s="234"/>
      <x:c r="R43" s="234"/>
      <x:c r="S43" s="234"/>
      <x:c r="T43" s="234"/>
      <x:c r="U43" s="234"/>
      <x:c r="V43" s="234"/>
      <x:c r="W43" s="234"/>
      <x:c r="X43" s="234"/>
      <x:c r="Y43" s="234"/>
      <x:c r="Z43" s="234"/>
    </x:row>
    <x:row r="44">
      <x:c r="A44" s="234"/>
      <x:c r="B44" s="234"/>
      <x:c r="C44" s="234"/>
      <x:c r="D44" s="234"/>
      <x:c r="E44" s="234"/>
      <x:c r="F44" s="234"/>
      <x:c r="G44" s="234"/>
      <x:c r="H44" s="234"/>
      <x:c r="I44" s="234"/>
      <x:c r="J44" s="234"/>
      <x:c r="K44" s="234"/>
      <x:c r="L44" s="234"/>
      <x:c r="M44" s="234"/>
      <x:c r="N44" s="234"/>
      <x:c r="O44" s="234"/>
      <x:c r="P44" s="234"/>
      <x:c r="Q44" s="234"/>
      <x:c r="R44" s="234"/>
      <x:c r="S44" s="234"/>
      <x:c r="T44" s="234"/>
      <x:c r="U44" s="234"/>
      <x:c r="V44" s="234"/>
      <x:c r="W44" s="234"/>
      <x:c r="X44" s="234"/>
      <x:c r="Y44" s="234"/>
      <x:c r="Z44" s="234"/>
    </x:row>
    <x:row r="45">
      <x:c r="A45" s="234"/>
      <x:c r="B45" s="234"/>
      <x:c r="C45" s="234"/>
      <x:c r="D45" s="234"/>
      <x:c r="E45" s="234"/>
      <x:c r="F45" s="234"/>
      <x:c r="G45" s="234"/>
      <x:c r="H45" s="234"/>
      <x:c r="I45" s="234"/>
      <x:c r="J45" s="234"/>
      <x:c r="K45" s="234"/>
      <x:c r="L45" s="234"/>
      <x:c r="M45" s="234"/>
      <x:c r="N45" s="234"/>
      <x:c r="O45" s="234"/>
      <x:c r="P45" s="234"/>
      <x:c r="Q45" s="234"/>
      <x:c r="R45" s="234"/>
      <x:c r="S45" s="234"/>
      <x:c r="T45" s="234"/>
      <x:c r="U45" s="234"/>
      <x:c r="V45" s="234"/>
      <x:c r="W45" s="234"/>
      <x:c r="X45" s="234"/>
      <x:c r="Y45" s="234"/>
      <x:c r="Z45" s="234"/>
    </x:row>
    <x:row r="46">
      <x:c r="A46" s="234"/>
      <x:c r="B46" s="234"/>
      <x:c r="C46" s="234"/>
      <x:c r="D46" s="234"/>
      <x:c r="E46" s="234"/>
      <x:c r="F46" s="234"/>
      <x:c r="G46" s="234"/>
      <x:c r="H46" s="234"/>
      <x:c r="I46" s="234"/>
      <x:c r="J46" s="234"/>
      <x:c r="K46" s="234"/>
      <x:c r="L46" s="234"/>
      <x:c r="M46" s="234"/>
      <x:c r="N46" s="234"/>
      <x:c r="O46" s="234"/>
      <x:c r="P46" s="234"/>
      <x:c r="Q46" s="234"/>
      <x:c r="R46" s="234"/>
      <x:c r="S46" s="234"/>
      <x:c r="T46" s="234"/>
      <x:c r="U46" s="234"/>
      <x:c r="V46" s="234"/>
      <x:c r="W46" s="234"/>
      <x:c r="X46" s="234"/>
      <x:c r="Y46" s="234"/>
      <x:c r="Z46" s="234"/>
    </x:row>
    <x:row r="47">
      <x:c r="A47" s="234"/>
      <x:c r="B47" s="234"/>
      <x:c r="C47" s="234"/>
      <x:c r="D47" s="234"/>
      <x:c r="E47" s="234"/>
      <x:c r="F47" s="234"/>
      <x:c r="G47" s="234"/>
      <x:c r="H47" s="234"/>
      <x:c r="I47" s="234"/>
      <x:c r="J47" s="234"/>
      <x:c r="K47" s="234"/>
      <x:c r="L47" s="234"/>
      <x:c r="M47" s="234"/>
      <x:c r="N47" s="234"/>
      <x:c r="O47" s="234"/>
      <x:c r="P47" s="234"/>
      <x:c r="Q47" s="234"/>
      <x:c r="R47" s="234"/>
      <x:c r="S47" s="234"/>
      <x:c r="T47" s="234"/>
      <x:c r="U47" s="234"/>
      <x:c r="V47" s="234"/>
      <x:c r="W47" s="234"/>
      <x:c r="X47" s="234"/>
      <x:c r="Y47" s="234"/>
      <x:c r="Z47" s="234"/>
    </x:row>
    <x:row r="48">
      <x:c r="A48" s="234"/>
      <x:c r="B48" s="234"/>
      <x:c r="C48" s="234"/>
      <x:c r="D48" s="234"/>
      <x:c r="E48" s="234"/>
      <x:c r="F48" s="234"/>
      <x:c r="G48" s="234"/>
      <x:c r="H48" s="234"/>
      <x:c r="I48" s="234"/>
      <x:c r="J48" s="234"/>
      <x:c r="K48" s="234"/>
      <x:c r="L48" s="234"/>
      <x:c r="M48" s="234"/>
      <x:c r="N48" s="234"/>
      <x:c r="O48" s="234"/>
      <x:c r="P48" s="234"/>
      <x:c r="Q48" s="234"/>
      <x:c r="R48" s="234"/>
      <x:c r="S48" s="234"/>
      <x:c r="T48" s="234"/>
      <x:c r="U48" s="234"/>
      <x:c r="V48" s="234"/>
      <x:c r="W48" s="234"/>
      <x:c r="X48" s="234"/>
      <x:c r="Y48" s="234"/>
      <x:c r="Z48" s="234"/>
    </x:row>
    <x:row r="49">
      <x:c r="A49" s="234"/>
      <x:c r="B49" s="234"/>
      <x:c r="C49" s="234"/>
      <x:c r="D49" s="234"/>
      <x:c r="E49" s="234"/>
      <x:c r="F49" s="234"/>
      <x:c r="G49" s="234"/>
      <x:c r="H49" s="234"/>
      <x:c r="I49" s="234"/>
      <x:c r="J49" s="234"/>
      <x:c r="K49" s="234"/>
      <x:c r="L49" s="234"/>
      <x:c r="M49" s="234"/>
      <x:c r="N49" s="234"/>
      <x:c r="O49" s="234"/>
      <x:c r="P49" s="234"/>
      <x:c r="Q49" s="234"/>
      <x:c r="R49" s="234"/>
      <x:c r="S49" s="234"/>
      <x:c r="T49" s="234"/>
      <x:c r="U49" s="234"/>
      <x:c r="V49" s="234"/>
      <x:c r="W49" s="234"/>
      <x:c r="X49" s="234"/>
      <x:c r="Y49" s="234"/>
      <x:c r="Z49" s="234"/>
    </x:row>
    <x:row r="50">
      <x:c r="A50" s="234"/>
      <x:c r="B50" s="234"/>
      <x:c r="C50" s="234"/>
      <x:c r="D50" s="234"/>
      <x:c r="E50" s="234"/>
      <x:c r="F50" s="234"/>
      <x:c r="G50" s="234"/>
      <x:c r="H50" s="234"/>
      <x:c r="I50" s="234"/>
      <x:c r="J50" s="234"/>
      <x:c r="K50" s="234"/>
      <x:c r="L50" s="234"/>
      <x:c r="M50" s="234"/>
      <x:c r="N50" s="234"/>
      <x:c r="O50" s="234"/>
      <x:c r="P50" s="234"/>
      <x:c r="Q50" s="234"/>
      <x:c r="R50" s="234"/>
      <x:c r="S50" s="234"/>
      <x:c r="T50" s="234"/>
      <x:c r="U50" s="234"/>
      <x:c r="V50" s="234"/>
      <x:c r="W50" s="234"/>
      <x:c r="X50" s="234"/>
      <x:c r="Y50" s="234"/>
      <x:c r="Z50" s="234"/>
    </x:row>
    <x:row r="51">
      <x:c r="A51" s="234"/>
      <x:c r="B51" s="234"/>
      <x:c r="C51" s="234"/>
      <x:c r="D51" s="234"/>
      <x:c r="E51" s="234"/>
      <x:c r="F51" s="234"/>
      <x:c r="G51" s="234"/>
      <x:c r="H51" s="234"/>
      <x:c r="I51" s="234"/>
      <x:c r="J51" s="234"/>
      <x:c r="K51" s="234"/>
      <x:c r="L51" s="234"/>
      <x:c r="M51" s="234"/>
      <x:c r="N51" s="234"/>
      <x:c r="O51" s="234"/>
      <x:c r="P51" s="234"/>
      <x:c r="Q51" s="234"/>
      <x:c r="R51" s="234"/>
      <x:c r="S51" s="234"/>
      <x:c r="T51" s="234"/>
      <x:c r="U51" s="234"/>
      <x:c r="V51" s="234"/>
      <x:c r="W51" s="234"/>
      <x:c r="X51" s="234"/>
      <x:c r="Y51" s="234"/>
      <x:c r="Z51" s="234"/>
    </x:row>
    <x:row r="52">
      <x:c r="A52" s="234"/>
      <x:c r="B52" s="234"/>
      <x:c r="C52" s="234"/>
      <x:c r="D52" s="234"/>
      <x:c r="E52" s="234"/>
      <x:c r="F52" s="234"/>
      <x:c r="G52" s="234"/>
      <x:c r="H52" s="234"/>
      <x:c r="I52" s="234"/>
      <x:c r="J52" s="234"/>
      <x:c r="K52" s="234"/>
      <x:c r="L52" s="234"/>
      <x:c r="M52" s="234"/>
      <x:c r="N52" s="234"/>
      <x:c r="O52" s="234"/>
      <x:c r="P52" s="234"/>
      <x:c r="Q52" s="234"/>
      <x:c r="R52" s="234"/>
      <x:c r="S52" s="234"/>
      <x:c r="T52" s="234"/>
      <x:c r="U52" s="234"/>
      <x:c r="V52" s="234"/>
      <x:c r="W52" s="234"/>
      <x:c r="X52" s="234"/>
      <x:c r="Y52" s="234"/>
      <x:c r="Z52" s="234"/>
    </x:row>
    <x:row r="53">
      <x:c r="A53" s="234"/>
      <x:c r="B53" s="234"/>
      <x:c r="C53" s="234"/>
      <x:c r="D53" s="234"/>
      <x:c r="E53" s="234"/>
      <x:c r="F53" s="234"/>
      <x:c r="G53" s="234"/>
      <x:c r="H53" s="234"/>
      <x:c r="I53" s="234"/>
      <x:c r="J53" s="234"/>
      <x:c r="K53" s="234"/>
      <x:c r="L53" s="234"/>
      <x:c r="M53" s="234"/>
      <x:c r="N53" s="234"/>
      <x:c r="O53" s="234"/>
      <x:c r="P53" s="234"/>
      <x:c r="Q53" s="234"/>
      <x:c r="R53" s="234"/>
      <x:c r="S53" s="234"/>
      <x:c r="T53" s="234"/>
      <x:c r="U53" s="234"/>
      <x:c r="V53" s="234"/>
      <x:c r="W53" s="234"/>
      <x:c r="X53" s="234"/>
      <x:c r="Y53" s="234"/>
      <x:c r="Z53" s="234"/>
    </x:row>
    <x:row r="54">
      <x:c r="A54" s="234"/>
      <x:c r="B54" s="234"/>
      <x:c r="C54" s="234"/>
      <x:c r="D54" s="234"/>
      <x:c r="E54" s="234"/>
      <x:c r="F54" s="234"/>
      <x:c r="G54" s="234"/>
      <x:c r="H54" s="234"/>
      <x:c r="I54" s="234"/>
      <x:c r="J54" s="234"/>
      <x:c r="K54" s="234"/>
      <x:c r="L54" s="234"/>
      <x:c r="M54" s="234"/>
      <x:c r="N54" s="234"/>
      <x:c r="O54" s="234"/>
      <x:c r="P54" s="234"/>
      <x:c r="Q54" s="234"/>
      <x:c r="R54" s="234"/>
      <x:c r="S54" s="234"/>
      <x:c r="T54" s="234"/>
      <x:c r="U54" s="234"/>
      <x:c r="V54" s="234"/>
      <x:c r="W54" s="234"/>
      <x:c r="X54" s="234"/>
      <x:c r="Y54" s="234"/>
      <x:c r="Z54" s="234"/>
    </x:row>
    <x:row r="55">
      <x:c r="A55" s="234"/>
      <x:c r="B55" s="234"/>
      <x:c r="C55" s="234"/>
      <x:c r="D55" s="234"/>
      <x:c r="E55" s="234"/>
      <x:c r="F55" s="234"/>
      <x:c r="G55" s="234"/>
      <x:c r="H55" s="234"/>
      <x:c r="I55" s="234"/>
      <x:c r="J55" s="234"/>
      <x:c r="K55" s="234"/>
      <x:c r="L55" s="234"/>
      <x:c r="M55" s="234"/>
      <x:c r="N55" s="234"/>
      <x:c r="O55" s="234"/>
      <x:c r="P55" s="234"/>
      <x:c r="Q55" s="234"/>
      <x:c r="R55" s="234"/>
      <x:c r="S55" s="234"/>
      <x:c r="T55" s="234"/>
      <x:c r="U55" s="234"/>
      <x:c r="V55" s="234"/>
      <x:c r="W55" s="234"/>
      <x:c r="X55" s="234"/>
      <x:c r="Y55" s="234"/>
      <x:c r="Z55" s="234"/>
    </x:row>
    <x:row r="56">
      <x:c r="A56" s="234"/>
      <x:c r="B56" s="234"/>
      <x:c r="C56" s="234"/>
      <x:c r="D56" s="234"/>
      <x:c r="E56" s="234"/>
      <x:c r="F56" s="234"/>
      <x:c r="G56" s="234"/>
      <x:c r="H56" s="234"/>
      <x:c r="I56" s="234"/>
      <x:c r="J56" s="234"/>
      <x:c r="K56" s="234"/>
      <x:c r="L56" s="234"/>
      <x:c r="M56" s="234"/>
      <x:c r="N56" s="234"/>
      <x:c r="O56" s="234"/>
      <x:c r="P56" s="234"/>
      <x:c r="Q56" s="234"/>
      <x:c r="R56" s="234"/>
      <x:c r="S56" s="234"/>
      <x:c r="T56" s="234"/>
      <x:c r="U56" s="234"/>
      <x:c r="V56" s="234"/>
      <x:c r="W56" s="234"/>
      <x:c r="X56" s="234"/>
      <x:c r="Y56" s="234"/>
      <x:c r="Z56" s="234"/>
    </x:row>
    <x:row r="57">
      <x:c r="A57" s="234"/>
      <x:c r="B57" s="234"/>
      <x:c r="C57" s="234"/>
      <x:c r="D57" s="234"/>
      <x:c r="E57" s="234"/>
      <x:c r="F57" s="234"/>
      <x:c r="G57" s="234"/>
      <x:c r="H57" s="234"/>
      <x:c r="I57" s="234"/>
      <x:c r="J57" s="234"/>
      <x:c r="K57" s="234"/>
      <x:c r="L57" s="234"/>
      <x:c r="M57" s="234"/>
      <x:c r="N57" s="234"/>
      <x:c r="O57" s="234"/>
      <x:c r="P57" s="234"/>
      <x:c r="Q57" s="234"/>
      <x:c r="R57" s="234"/>
      <x:c r="S57" s="234"/>
      <x:c r="T57" s="234"/>
      <x:c r="U57" s="234"/>
      <x:c r="V57" s="234"/>
      <x:c r="W57" s="234"/>
      <x:c r="X57" s="234"/>
      <x:c r="Y57" s="234"/>
      <x:c r="Z57" s="234"/>
    </x:row>
    <x:row r="58">
      <x:c r="A58" s="234"/>
      <x:c r="B58" s="234"/>
      <x:c r="C58" s="234"/>
      <x:c r="D58" s="234"/>
      <x:c r="E58" s="234"/>
      <x:c r="F58" s="234"/>
      <x:c r="G58" s="234"/>
      <x:c r="H58" s="234"/>
      <x:c r="I58" s="234"/>
      <x:c r="J58" s="234"/>
      <x:c r="K58" s="234"/>
      <x:c r="L58" s="234"/>
      <x:c r="M58" s="234"/>
      <x:c r="N58" s="234"/>
      <x:c r="O58" s="234"/>
      <x:c r="P58" s="234"/>
      <x:c r="Q58" s="234"/>
      <x:c r="R58" s="234"/>
      <x:c r="S58" s="234"/>
      <x:c r="T58" s="234"/>
      <x:c r="U58" s="234"/>
      <x:c r="V58" s="234"/>
      <x:c r="W58" s="234"/>
      <x:c r="X58" s="234"/>
      <x:c r="Y58" s="234"/>
      <x:c r="Z58" s="234"/>
    </x:row>
    <x:row r="59">
      <x:c r="A59" s="234"/>
      <x:c r="B59" s="234"/>
      <x:c r="C59" s="234"/>
      <x:c r="D59" s="234"/>
      <x:c r="E59" s="234"/>
      <x:c r="F59" s="234"/>
      <x:c r="G59" s="234"/>
      <x:c r="H59" s="234"/>
      <x:c r="I59" s="234"/>
      <x:c r="J59" s="234"/>
      <x:c r="K59" s="234"/>
      <x:c r="L59" s="234"/>
      <x:c r="M59" s="234"/>
      <x:c r="N59" s="234"/>
      <x:c r="O59" s="234"/>
      <x:c r="P59" s="234"/>
      <x:c r="Q59" s="234"/>
      <x:c r="R59" s="234"/>
      <x:c r="S59" s="234"/>
      <x:c r="T59" s="234"/>
      <x:c r="U59" s="234"/>
      <x:c r="V59" s="234"/>
      <x:c r="W59" s="234"/>
      <x:c r="X59" s="234"/>
      <x:c r="Y59" s="234"/>
      <x:c r="Z59" s="234"/>
    </x:row>
    <x:row r="60">
      <x:c r="A60" s="234"/>
      <x:c r="B60" s="234"/>
      <x:c r="C60" s="234"/>
      <x:c r="D60" s="234"/>
      <x:c r="E60" s="234"/>
      <x:c r="F60" s="234"/>
      <x:c r="G60" s="234"/>
      <x:c r="H60" s="234"/>
      <x:c r="I60" s="234"/>
      <x:c r="J60" s="234"/>
      <x:c r="K60" s="234"/>
      <x:c r="L60" s="234"/>
      <x:c r="M60" s="234"/>
      <x:c r="N60" s="234"/>
      <x:c r="O60" s="234"/>
      <x:c r="P60" s="234"/>
      <x:c r="Q60" s="234"/>
      <x:c r="R60" s="234"/>
      <x:c r="S60" s="234"/>
      <x:c r="T60" s="234"/>
      <x:c r="U60" s="234"/>
      <x:c r="V60" s="234"/>
      <x:c r="W60" s="234"/>
      <x:c r="X60" s="234"/>
      <x:c r="Y60" s="234"/>
      <x:c r="Z60" s="234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20" hidden="0" customWidth="1"/>
  </x:cols>
  <x:sheetData>
    <x:row r="1" ht="28" customHeight="1">
      <x:c r="A1" s="26" t="str">
        <x:v>Unilever Historical Financial Performance | 2020–2024</x:v>
      </x:c>
      <x:c r="B1" s="26" t="str">
        <x:v>Unilever Historical Financial Performance | 2020–2024</x:v>
      </x:c>
      <x:c r="C1" s="26" t="str">
        <x:v>Unilever Historical Financial Performance | 2020–2024</x:v>
      </x:c>
      <x:c r="D1" s="26" t="str">
        <x:v>Unilever Historical Financial Performance | 2020–2024</x:v>
      </x:c>
      <x:c r="E1" s="26" t="str">
        <x:v>Unilever Historical Financial Performance | 2020–2024</x:v>
      </x:c>
      <x:c r="F1" s="26" t="str">
        <x:v>Unilever Historical Financial Performance | 2020–2024</x:v>
      </x:c>
      <x:c r="G1" s="26" t="str">
        <x:v>Unilever Historical Financial Performance | 2020–2024</x:v>
      </x:c>
      <x:c r="H1" s="26" t="str">
        <x:v>Unilever Historical Financial Performance | 2020–2024</x:v>
      </x:c>
      <x:c r="I1" s="234"/>
      <x:c r="J1" s="234"/>
      <x:c r="K1" s="234"/>
      <x:c r="L1" s="234"/>
      <x:c r="M1" s="234"/>
      <x:c r="N1" s="234"/>
      <x:c r="O1" s="234"/>
      <x:c r="P1" s="234"/>
      <x:c r="Q1" s="234"/>
      <x:c r="R1" s="234"/>
      <x:c r="S1" s="234"/>
      <x:c r="T1" s="234"/>
      <x:c r="U1" s="234"/>
      <x:c r="V1" s="234"/>
      <x:c r="W1" s="234"/>
      <x:c r="X1" s="234"/>
      <x:c r="Y1" s="234"/>
      <x:c r="Z1" s="234"/>
    </x:row>
    <x:row r="2">
      <x:c r="A2" s="235"/>
      <x:c r="B2" s="235"/>
      <x:c r="C2" s="235"/>
      <x:c r="D2" s="235"/>
      <x:c r="E2" s="235"/>
      <x:c r="F2" s="235"/>
      <x:c r="G2" s="235"/>
      <x:c r="H2" s="235"/>
      <x:c r="I2" s="234"/>
      <x:c r="J2" s="234"/>
      <x:c r="K2" s="234"/>
      <x:c r="L2" s="234"/>
      <x:c r="M2" s="234"/>
      <x:c r="N2" s="234"/>
      <x:c r="O2" s="234"/>
      <x:c r="P2" s="234"/>
      <x:c r="Q2" s="234"/>
      <x:c r="R2" s="234"/>
      <x:c r="S2" s="234"/>
      <x:c r="T2" s="234"/>
      <x:c r="U2" s="234"/>
      <x:c r="V2" s="234"/>
      <x:c r="W2" s="234"/>
      <x:c r="X2" s="234"/>
      <x:c r="Y2" s="234"/>
      <x:c r="Z2" s="234"/>
    </x:row>
    <x:row r="3" ht="21" customHeight="1">
      <x:c r="A3" s="58" t="str">
        <x:v>Income Statement, Cash Flow &amp; Key Operating Metrics</x:v>
      </x:c>
      <x:c r="B3" s="58" t="str">
        <x:v>Income Statement, Cash Flow &amp; Key Operating Metrics</x:v>
      </x:c>
      <x:c r="C3" s="58" t="str">
        <x:v>Income Statement, Cash Flow &amp; Key Operating Metrics</x:v>
      </x:c>
      <x:c r="D3" s="58" t="str">
        <x:v>Income Statement, Cash Flow &amp; Key Operating Metrics</x:v>
      </x:c>
      <x:c r="E3" s="58" t="str">
        <x:v>Income Statement, Cash Flow &amp; Key Operating Metrics</x:v>
      </x:c>
      <x:c r="F3" s="58" t="str">
        <x:v>Income Statement, Cash Flow &amp; Key Operating Metrics</x:v>
      </x:c>
      <x:c r="G3" s="58" t="str">
        <x:v>Income Statement, Cash Flow &amp; Key Operating Metrics</x:v>
      </x:c>
      <x:c r="H3" s="58" t="str">
        <x:v>Income Statement, Cash Flow &amp; Key Operating Metrics</x:v>
      </x:c>
      <x:c r="I3" s="234"/>
      <x:c r="J3" s="234"/>
      <x:c r="K3" s="234"/>
      <x:c r="L3" s="234"/>
      <x:c r="M3" s="234"/>
      <x:c r="N3" s="234"/>
      <x:c r="O3" s="234"/>
      <x:c r="P3" s="234"/>
      <x:c r="Q3" s="234"/>
      <x:c r="R3" s="234"/>
      <x:c r="S3" s="234"/>
      <x:c r="T3" s="234"/>
      <x:c r="U3" s="234"/>
      <x:c r="V3" s="234"/>
      <x:c r="W3" s="234"/>
      <x:c r="X3" s="234"/>
      <x:c r="Y3" s="234"/>
      <x:c r="Z3" s="234"/>
    </x:row>
    <x:row r="4">
      <x:c r="A4" s="28" t="str">
        <x:v>Metric</x:v>
      </x:c>
      <x:c r="B4" s="28" t="str">
        <x:v>Units</x:v>
      </x:c>
      <x:c r="C4" s="28" t="str">
        <x:v>2020</x:v>
      </x:c>
      <x:c r="D4" s="28" t="str">
        <x:v>2021</x:v>
      </x:c>
      <x:c r="E4" s="28" t="str">
        <x:v>2022</x:v>
      </x:c>
      <x:c r="F4" s="28" t="str">
        <x:v>2023</x:v>
      </x:c>
      <x:c r="G4" s="28" t="str">
        <x:v>2024</x:v>
      </x:c>
      <x:c r="H4" s="28" t="str">
        <x:v>Source</x:v>
      </x:c>
      <x:c r="I4" s="234"/>
      <x:c r="J4" s="234"/>
      <x:c r="K4" s="234"/>
      <x:c r="L4" s="234"/>
      <x:c r="M4" s="234"/>
      <x:c r="N4" s="234"/>
      <x:c r="O4" s="234"/>
      <x:c r="P4" s="234"/>
      <x:c r="Q4" s="234"/>
      <x:c r="R4" s="234"/>
      <x:c r="S4" s="234"/>
      <x:c r="T4" s="234"/>
      <x:c r="U4" s="234"/>
      <x:c r="V4" s="234"/>
      <x:c r="W4" s="234"/>
      <x:c r="X4" s="234"/>
      <x:c r="Y4" s="234"/>
      <x:c r="Z4" s="234"/>
    </x:row>
    <x:row r="5">
      <x:c r="A5" s="235" t="str">
        <x:v>Turnover</x:v>
      </x:c>
      <x:c r="B5" s="235" t="str">
        <x:v>€bn</x:v>
      </x:c>
      <x:c r="C5" s="272" t="n">
        <x:v>50.724</x:v>
      </x:c>
      <x:c r="D5" s="272" t="n">
        <x:v>52.444</x:v>
      </x:c>
      <x:c r="E5" s="272" t="n">
        <x:v>60.073</x:v>
      </x:c>
      <x:c r="F5" s="272" t="n">
        <x:v>59.604</x:v>
      </x:c>
      <x:c r="G5" s="272" t="n">
        <x:v>60.761</x:v>
      </x:c>
      <x:c r="H5" s="273" t="str">
        <x:v>U20/U21/U23/U24</x:v>
      </x:c>
      <x:c r="I5" s="234"/>
      <x:c r="J5" s="234"/>
      <x:c r="K5" s="234"/>
      <x:c r="L5" s="234"/>
      <x:c r="M5" s="234"/>
      <x:c r="N5" s="234"/>
      <x:c r="O5" s="234"/>
      <x:c r="P5" s="234"/>
      <x:c r="Q5" s="234"/>
      <x:c r="R5" s="234"/>
      <x:c r="S5" s="234"/>
      <x:c r="T5" s="234"/>
      <x:c r="U5" s="234"/>
      <x:c r="V5" s="234"/>
      <x:c r="W5" s="234"/>
      <x:c r="X5" s="234"/>
      <x:c r="Y5" s="234"/>
      <x:c r="Z5" s="234"/>
    </x:row>
    <x:row r="6">
      <x:c r="A6" s="235" t="str">
        <x:v>Turnover growth</x:v>
      </x:c>
      <x:c r="B6" s="235" t="str">
        <x:v>%</x:v>
      </x:c>
      <x:c r="C6" s="274" t="n">
        <x:v>-0.024</x:v>
      </x:c>
      <x:c r="D6" s="274" t="n">
        <x:v>0.034</x:v>
      </x:c>
      <x:c r="E6" s="274" t="n">
        <x:v>0.145</x:v>
      </x:c>
      <x:c r="F6" s="274" t="n">
        <x:v>-0.008</x:v>
      </x:c>
      <x:c r="G6" s="274" t="n">
        <x:v>0.019</x:v>
      </x:c>
      <x:c r="H6" s="273" t="str">
        <x:v>U21/U23/U24</x:v>
      </x:c>
      <x:c r="I6" s="234"/>
      <x:c r="J6" s="234"/>
      <x:c r="K6" s="234"/>
      <x:c r="L6" s="234"/>
      <x:c r="M6" s="234"/>
      <x:c r="N6" s="234"/>
      <x:c r="O6" s="234"/>
      <x:c r="P6" s="234"/>
      <x:c r="Q6" s="234"/>
      <x:c r="R6" s="234"/>
      <x:c r="S6" s="234"/>
      <x:c r="T6" s="234"/>
      <x:c r="U6" s="234"/>
      <x:c r="V6" s="234"/>
      <x:c r="W6" s="234"/>
      <x:c r="X6" s="234"/>
      <x:c r="Y6" s="234"/>
      <x:c r="Z6" s="234"/>
    </x:row>
    <x:row r="7">
      <x:c r="A7" s="235" t="str">
        <x:v>Underlying sales growth</x:v>
      </x:c>
      <x:c r="B7" s="235" t="str">
        <x:v>%</x:v>
      </x:c>
      <x:c r="C7" s="274" t="n">
        <x:v>0.019</x:v>
      </x:c>
      <x:c r="D7" s="274" t="n">
        <x:v>0.045</x:v>
      </x:c>
      <x:c r="E7" s="274" t="n">
        <x:v>0.09</x:v>
      </x:c>
      <x:c r="F7" s="274" t="n">
        <x:v>0.07</x:v>
      </x:c>
      <x:c r="G7" s="274" t="n">
        <x:v>0.042</x:v>
      </x:c>
      <x:c r="H7" s="273" t="str">
        <x:v>U21/U23/U24</x:v>
      </x:c>
      <x:c r="I7" s="234"/>
      <x:c r="J7" s="234"/>
      <x:c r="K7" s="234"/>
      <x:c r="L7" s="234"/>
      <x:c r="M7" s="234"/>
      <x:c r="N7" s="234"/>
      <x:c r="O7" s="234"/>
      <x:c r="P7" s="234"/>
      <x:c r="Q7" s="234"/>
      <x:c r="R7" s="234"/>
      <x:c r="S7" s="234"/>
      <x:c r="T7" s="234"/>
      <x:c r="U7" s="234"/>
      <x:c r="V7" s="234"/>
      <x:c r="W7" s="234"/>
      <x:c r="X7" s="234"/>
      <x:c r="Y7" s="234"/>
      <x:c r="Z7" s="234"/>
    </x:row>
    <x:row r="8">
      <x:c r="A8" s="235" t="str">
        <x:v>Underlying volume growth</x:v>
      </x:c>
      <x:c r="B8" s="235" t="str">
        <x:v>%</x:v>
      </x:c>
      <x:c r="C8" s="274" t="n">
        <x:v>0.016</x:v>
      </x:c>
      <x:c r="D8" s="274" t="n">
        <x:v>0.016</x:v>
      </x:c>
      <x:c r="E8" s="274" t="n">
        <x:v>-0.021</x:v>
      </x:c>
      <x:c r="F8" s="274" t="n">
        <x:v>0.002</x:v>
      </x:c>
      <x:c r="G8" s="274" t="n">
        <x:v>0.029</x:v>
      </x:c>
      <x:c r="H8" s="273" t="str">
        <x:v>U21/U23/U24</x:v>
      </x:c>
      <x:c r="I8" s="234"/>
      <x:c r="J8" s="234"/>
      <x:c r="K8" s="234"/>
      <x:c r="L8" s="234"/>
      <x:c r="M8" s="234"/>
      <x:c r="N8" s="234"/>
      <x:c r="O8" s="234"/>
      <x:c r="P8" s="234"/>
      <x:c r="Q8" s="234"/>
      <x:c r="R8" s="234"/>
      <x:c r="S8" s="234"/>
      <x:c r="T8" s="234"/>
      <x:c r="U8" s="234"/>
      <x:c r="V8" s="234"/>
      <x:c r="W8" s="234"/>
      <x:c r="X8" s="234"/>
      <x:c r="Y8" s="234"/>
      <x:c r="Z8" s="234"/>
    </x:row>
    <x:row r="9">
      <x:c r="A9" s="235" t="str">
        <x:v>Operating profit</x:v>
      </x:c>
      <x:c r="B9" s="235" t="str">
        <x:v>€bn</x:v>
      </x:c>
      <x:c r="C9" s="272" t="n">
        <x:v>8.303</x:v>
      </x:c>
      <x:c r="D9" s="272" t="n">
        <x:v>8.702</x:v>
      </x:c>
      <x:c r="E9" s="272" t="n">
        <x:v>10.755</x:v>
      </x:c>
      <x:c r="F9" s="272" t="n">
        <x:v>9.758</x:v>
      </x:c>
      <x:c r="G9" s="272" t="n">
        <x:v>9.4</x:v>
      </x:c>
      <x:c r="H9" s="273" t="str">
        <x:v>U21/U23/U24</x:v>
      </x:c>
      <x:c r="I9" s="234"/>
      <x:c r="J9" s="234"/>
      <x:c r="K9" s="234"/>
      <x:c r="L9" s="234"/>
      <x:c r="M9" s="234"/>
      <x:c r="N9" s="234"/>
      <x:c r="O9" s="234"/>
      <x:c r="P9" s="234"/>
      <x:c r="Q9" s="234"/>
      <x:c r="R9" s="234"/>
      <x:c r="S9" s="234"/>
      <x:c r="T9" s="234"/>
      <x:c r="U9" s="234"/>
      <x:c r="V9" s="234"/>
      <x:c r="W9" s="234"/>
      <x:c r="X9" s="234"/>
      <x:c r="Y9" s="234"/>
      <x:c r="Z9" s="234"/>
    </x:row>
    <x:row r="10">
      <x:c r="A10" s="235" t="str">
        <x:v>Operating margin</x:v>
      </x:c>
      <x:c r="B10" s="235" t="str">
        <x:v>%</x:v>
      </x:c>
      <x:c r="C10" s="274" t="n">
        <x:v>0.164</x:v>
      </x:c>
      <x:c r="D10" s="274" t="n">
        <x:v>0.166</x:v>
      </x:c>
      <x:c r="E10" s="274" t="n">
        <x:v>0.179</x:v>
      </x:c>
      <x:c r="F10" s="274" t="n">
        <x:v>0.164</x:v>
      </x:c>
      <x:c r="G10" s="274" t="n">
        <x:v>0.155</x:v>
      </x:c>
      <x:c r="H10" s="273" t="str">
        <x:v>U21/U23/U24</x:v>
      </x:c>
      <x:c r="I10" s="234"/>
      <x:c r="J10" s="234"/>
      <x:c r="K10" s="234"/>
      <x:c r="L10" s="234"/>
      <x:c r="M10" s="234"/>
      <x:c r="N10" s="234"/>
      <x:c r="O10" s="234"/>
      <x:c r="P10" s="234"/>
      <x:c r="Q10" s="234"/>
      <x:c r="R10" s="234"/>
      <x:c r="S10" s="234"/>
      <x:c r="T10" s="234"/>
      <x:c r="U10" s="234"/>
      <x:c r="V10" s="234"/>
      <x:c r="W10" s="234"/>
      <x:c r="X10" s="234"/>
      <x:c r="Y10" s="234"/>
      <x:c r="Z10" s="234"/>
    </x:row>
    <x:row r="11">
      <x:c r="A11" s="235" t="str">
        <x:v>Underlying operating profit</x:v>
      </x:c>
      <x:c r="B11" s="235" t="str">
        <x:v>€bn</x:v>
      </x:c>
      <x:c r="C11" s="272" t="n">
        <x:v>9.384</x:v>
      </x:c>
      <x:c r="D11" s="272" t="n">
        <x:v>9.636</x:v>
      </x:c>
      <x:c r="E11" s="272" t="n">
        <x:v>9.683</x:v>
      </x:c>
      <x:c r="F11" s="272" t="n">
        <x:v>9.931</x:v>
      </x:c>
      <x:c r="G11" s="272" t="n">
        <x:v>11.179</x:v>
      </x:c>
      <x:c r="H11" s="273" t="str">
        <x:v>U21/U23/U24</x:v>
      </x:c>
      <x:c r="I11" s="234"/>
      <x:c r="J11" s="234"/>
      <x:c r="K11" s="234"/>
      <x:c r="L11" s="234"/>
      <x:c r="M11" s="234"/>
      <x:c r="N11" s="234"/>
      <x:c r="O11" s="234"/>
      <x:c r="P11" s="234"/>
      <x:c r="Q11" s="234"/>
      <x:c r="R11" s="234"/>
      <x:c r="S11" s="234"/>
      <x:c r="T11" s="234"/>
      <x:c r="U11" s="234"/>
      <x:c r="V11" s="234"/>
      <x:c r="W11" s="234"/>
      <x:c r="X11" s="234"/>
      <x:c r="Y11" s="234"/>
      <x:c r="Z11" s="234"/>
    </x:row>
    <x:row r="12">
      <x:c r="A12" s="235" t="str">
        <x:v>Underlying operating margin</x:v>
      </x:c>
      <x:c r="B12" s="235" t="str">
        <x:v>%</x:v>
      </x:c>
      <x:c r="C12" s="274" t="n">
        <x:v>0.185</x:v>
      </x:c>
      <x:c r="D12" s="274" t="n">
        <x:v>0.184</x:v>
      </x:c>
      <x:c r="E12" s="274" t="n">
        <x:v>0.161</x:v>
      </x:c>
      <x:c r="F12" s="274" t="n">
        <x:v>0.167</x:v>
      </x:c>
      <x:c r="G12" s="274" t="n">
        <x:v>0.184</x:v>
      </x:c>
      <x:c r="H12" s="273" t="str">
        <x:v>U21/U23/U24</x:v>
      </x:c>
      <x:c r="I12" s="234"/>
      <x:c r="J12" s="234"/>
      <x:c r="K12" s="234"/>
      <x:c r="L12" s="234"/>
      <x:c r="M12" s="234"/>
      <x:c r="N12" s="234"/>
      <x:c r="O12" s="234"/>
      <x:c r="P12" s="234"/>
      <x:c r="Q12" s="234"/>
      <x:c r="R12" s="234"/>
      <x:c r="S12" s="234"/>
      <x:c r="T12" s="234"/>
      <x:c r="U12" s="234"/>
      <x:c r="V12" s="234"/>
      <x:c r="W12" s="234"/>
      <x:c r="X12" s="234"/>
      <x:c r="Y12" s="234"/>
      <x:c r="Z12" s="234"/>
    </x:row>
    <x:row r="13">
      <x:c r="A13" s="235" t="str">
        <x:v>Net profit attributable to shareholders</x:v>
      </x:c>
      <x:c r="B13" s="235" t="str">
        <x:v>€bn</x:v>
      </x:c>
      <x:c r="C13" s="275" t="n">
        <x:v>5.581</x:v>
      </x:c>
      <x:c r="D13" s="275" t="n">
        <x:v>6.049</x:v>
      </x:c>
      <x:c r="E13" s="275" t="n">
        <x:v>7.642</x:v>
      </x:c>
      <x:c r="F13" s="275" t="n">
        <x:v>6.487</x:v>
      </x:c>
      <x:c r="G13" s="275" t="n">
        <x:v>5.744</x:v>
      </x:c>
      <x:c r="H13" s="273" t="str">
        <x:v>U21/U23/U24</x:v>
      </x:c>
      <x:c r="I13" s="234"/>
      <x:c r="J13" s="234"/>
      <x:c r="K13" s="234"/>
      <x:c r="L13" s="234"/>
      <x:c r="M13" s="234"/>
      <x:c r="N13" s="234"/>
      <x:c r="O13" s="234"/>
      <x:c r="P13" s="234"/>
      <x:c r="Q13" s="234"/>
      <x:c r="R13" s="234"/>
      <x:c r="S13" s="234"/>
      <x:c r="T13" s="234"/>
      <x:c r="U13" s="234"/>
      <x:c r="V13" s="234"/>
      <x:c r="W13" s="234"/>
      <x:c r="X13" s="234"/>
      <x:c r="Y13" s="234"/>
      <x:c r="Z13" s="234"/>
    </x:row>
    <x:row r="14">
      <x:c r="A14" s="235" t="str">
        <x:v>Basic / diluted EPS</x:v>
      </x:c>
      <x:c r="B14" s="235" t="str">
        <x:v>€/share</x:v>
      </x:c>
      <x:c r="C14" s="275" t="n">
        <x:v>2.13</x:v>
      </x:c>
      <x:c r="D14" s="275" t="n">
        <x:v>2.32</x:v>
      </x:c>
      <x:c r="E14" s="275" t="n">
        <x:v>2.99</x:v>
      </x:c>
      <x:c r="F14" s="275" t="n">
        <x:v>2.56</x:v>
      </x:c>
      <x:c r="G14" s="275" t="n">
        <x:v>2.29</x:v>
      </x:c>
      <x:c r="H14" s="273" t="str">
        <x:v>U21/U23/U24</x:v>
      </x:c>
      <x:c r="I14" s="234"/>
      <x:c r="J14" s="234"/>
      <x:c r="K14" s="234"/>
      <x:c r="L14" s="234"/>
      <x:c r="M14" s="234"/>
      <x:c r="N14" s="234"/>
      <x:c r="O14" s="234"/>
      <x:c r="P14" s="234"/>
      <x:c r="Q14" s="234"/>
      <x:c r="R14" s="234"/>
      <x:c r="S14" s="234"/>
      <x:c r="T14" s="234"/>
      <x:c r="U14" s="234"/>
      <x:c r="V14" s="234"/>
      <x:c r="W14" s="234"/>
      <x:c r="X14" s="234"/>
      <x:c r="Y14" s="234"/>
      <x:c r="Z14" s="234"/>
    </x:row>
    <x:row r="15">
      <x:c r="A15" s="235" t="str">
        <x:v>Underlying EPS</x:v>
      </x:c>
      <x:c r="B15" s="235" t="str">
        <x:v>€/share</x:v>
      </x:c>
      <x:c r="C15" s="272" t="n">
        <x:v>2.48</x:v>
      </x:c>
      <x:c r="D15" s="272" t="n">
        <x:v>2.62</x:v>
      </x:c>
      <x:c r="E15" s="272" t="n">
        <x:v>2.57</x:v>
      </x:c>
      <x:c r="F15" s="272" t="n">
        <x:v>2.6</x:v>
      </x:c>
      <x:c r="G15" s="272" t="n">
        <x:v>2.98</x:v>
      </x:c>
      <x:c r="H15" s="273" t="str">
        <x:v>U21/U23/U24</x:v>
      </x:c>
      <x:c r="I15" s="234"/>
      <x:c r="J15" s="234"/>
      <x:c r="K15" s="234"/>
      <x:c r="L15" s="234"/>
      <x:c r="M15" s="234"/>
      <x:c r="N15" s="234"/>
      <x:c r="O15" s="234"/>
      <x:c r="P15" s="234"/>
      <x:c r="Q15" s="234"/>
      <x:c r="R15" s="234"/>
      <x:c r="S15" s="234"/>
      <x:c r="T15" s="234"/>
      <x:c r="U15" s="234"/>
      <x:c r="V15" s="234"/>
      <x:c r="W15" s="234"/>
      <x:c r="X15" s="234"/>
      <x:c r="Y15" s="234"/>
      <x:c r="Z15" s="234"/>
    </x:row>
    <x:row r="16">
      <x:c r="A16" s="235" t="str">
        <x:v>Cash flow from operations</x:v>
      </x:c>
      <x:c r="B16" s="235" t="str">
        <x:v>€bn</x:v>
      </x:c>
      <x:c r="C16" s="272" t="n">
        <x:v>10.933</x:v>
      </x:c>
      <x:c r="D16" s="272" t="n">
        <x:v>10.305</x:v>
      </x:c>
      <x:c r="E16" s="272" t="n">
        <x:v>10.089</x:v>
      </x:c>
      <x:c r="F16" s="272" t="n">
        <x:v>11.561</x:v>
      </x:c>
      <x:c r="G16" s="272" t="n">
        <x:v>12.144</x:v>
      </x:c>
      <x:c r="H16" s="273" t="str">
        <x:v>U21/U23/U24</x:v>
      </x:c>
      <x:c r="I16" s="234"/>
      <x:c r="J16" s="234"/>
      <x:c r="K16" s="234"/>
      <x:c r="L16" s="234"/>
      <x:c r="M16" s="234"/>
      <x:c r="N16" s="234"/>
      <x:c r="O16" s="234"/>
      <x:c r="P16" s="234"/>
      <x:c r="Q16" s="234"/>
      <x:c r="R16" s="234"/>
      <x:c r="S16" s="234"/>
      <x:c r="T16" s="234"/>
      <x:c r="U16" s="234"/>
      <x:c r="V16" s="234"/>
      <x:c r="W16" s="234"/>
      <x:c r="X16" s="234"/>
      <x:c r="Y16" s="234"/>
      <x:c r="Z16" s="234"/>
    </x:row>
    <x:row r="17">
      <x:c r="A17" s="235" t="str">
        <x:v>Free cash flow</x:v>
      </x:c>
      <x:c r="B17" s="235" t="str">
        <x:v>€bn</x:v>
      </x:c>
      <x:c r="C17" s="272" t="n">
        <x:v>7.671</x:v>
      </x:c>
      <x:c r="D17" s="272" t="n">
        <x:v>6.393</x:v>
      </x:c>
      <x:c r="E17" s="272" t="n">
        <x:v>5.198</x:v>
      </x:c>
      <x:c r="F17" s="272" t="n">
        <x:v>7.091</x:v>
      </x:c>
      <x:c r="G17" s="272" t="n">
        <x:v>6.932</x:v>
      </x:c>
      <x:c r="H17" s="273" t="str">
        <x:v>U21/U23/U24</x:v>
      </x:c>
      <x:c r="I17" s="234"/>
      <x:c r="J17" s="234"/>
      <x:c r="K17" s="234"/>
      <x:c r="L17" s="234"/>
      <x:c r="M17" s="234"/>
      <x:c r="N17" s="234"/>
      <x:c r="O17" s="234"/>
      <x:c r="P17" s="234"/>
      <x:c r="Q17" s="234"/>
      <x:c r="R17" s="234"/>
      <x:c r="S17" s="234"/>
      <x:c r="T17" s="234"/>
      <x:c r="U17" s="234"/>
      <x:c r="V17" s="234"/>
      <x:c r="W17" s="234"/>
      <x:c r="X17" s="234"/>
      <x:c r="Y17" s="234"/>
      <x:c r="Z17" s="234"/>
    </x:row>
    <x:row r="18">
      <x:c r="A18" s="235" t="str">
        <x:v>Net capital expenditure</x:v>
      </x:c>
      <x:c r="B18" s="235" t="str">
        <x:v>€bn</x:v>
      </x:c>
      <x:c r="C18" s="272" t="n">
        <x:v>0.932</x:v>
      </x:c>
      <x:c r="D18" s="272" t="n">
        <x:v>1.239</x:v>
      </x:c>
      <x:c r="E18" s="272" t="n">
        <x:v>1.627</x:v>
      </x:c>
      <x:c r="F18" s="272" t="n">
        <x:v>1.703</x:v>
      </x:c>
      <x:c r="G18" s="272" t="n">
        <x:v>1.934</x:v>
      </x:c>
      <x:c r="H18" s="273" t="str">
        <x:v>U21/U23/U24</x:v>
      </x:c>
      <x:c r="I18" s="234"/>
      <x:c r="J18" s="234"/>
      <x:c r="K18" s="234"/>
      <x:c r="L18" s="234"/>
      <x:c r="M18" s="234"/>
      <x:c r="N18" s="234"/>
      <x:c r="O18" s="234"/>
      <x:c r="P18" s="234"/>
      <x:c r="Q18" s="234"/>
      <x:c r="R18" s="234"/>
      <x:c r="S18" s="234"/>
      <x:c r="T18" s="234"/>
      <x:c r="U18" s="234"/>
      <x:c r="V18" s="234"/>
      <x:c r="W18" s="234"/>
      <x:c r="X18" s="234"/>
      <x:c r="Y18" s="234"/>
      <x:c r="Z18" s="234"/>
    </x:row>
    <x:row r="19">
      <x:c r="A19" s="235" t="str">
        <x:v>Net interest payments</x:v>
      </x:c>
      <x:c r="B19" s="235" t="str">
        <x:v>€bn</x:v>
      </x:c>
      <x:c r="C19" s="272" t="n">
        <x:v>0.455</x:v>
      </x:c>
      <x:c r="D19" s="272" t="n">
        <x:v>0.34</x:v>
      </x:c>
      <x:c r="E19" s="272" t="n">
        <x:v>0.457</x:v>
      </x:c>
      <x:c r="F19" s="272" t="n">
        <x:v>0.632</x:v>
      </x:c>
      <x:c r="G19" s="272" t="n">
        <x:v>0.653</x:v>
      </x:c>
      <x:c r="H19" s="273" t="str">
        <x:v>U21/U23/U24</x:v>
      </x:c>
      <x:c r="I19" s="234"/>
      <x:c r="J19" s="234"/>
      <x:c r="K19" s="234"/>
      <x:c r="L19" s="234"/>
      <x:c r="M19" s="234"/>
      <x:c r="N19" s="234"/>
      <x:c r="O19" s="234"/>
      <x:c r="P19" s="234"/>
      <x:c r="Q19" s="234"/>
      <x:c r="R19" s="234"/>
      <x:c r="S19" s="234"/>
      <x:c r="T19" s="234"/>
      <x:c r="U19" s="234"/>
      <x:c r="V19" s="234"/>
      <x:c r="W19" s="234"/>
      <x:c r="X19" s="234"/>
      <x:c r="Y19" s="234"/>
      <x:c r="Z19" s="234"/>
    </x:row>
    <x:row r="20">
      <x:c r="A20" s="235"/>
      <x:c r="B20" s="235"/>
      <x:c r="C20" s="235"/>
      <x:c r="D20" s="235"/>
      <x:c r="E20" s="235"/>
      <x:c r="F20" s="235"/>
      <x:c r="G20" s="235"/>
      <x:c r="H20" s="235"/>
      <x:c r="I20" s="234"/>
      <x:c r="J20" s="234"/>
      <x:c r="K20" s="234"/>
      <x:c r="L20" s="234"/>
      <x:c r="M20" s="234"/>
      <x:c r="N20" s="234"/>
      <x:c r="O20" s="234"/>
      <x:c r="P20" s="234"/>
      <x:c r="Q20" s="234"/>
      <x:c r="R20" s="234"/>
      <x:c r="S20" s="234"/>
      <x:c r="T20" s="234"/>
      <x:c r="U20" s="234"/>
      <x:c r="V20" s="234"/>
      <x:c r="W20" s="234"/>
      <x:c r="X20" s="234"/>
      <x:c r="Y20" s="234"/>
      <x:c r="Z20" s="234"/>
    </x:row>
    <x:row r="21" ht="21" customHeight="1">
      <x:c r="A21" s="58" t="str">
        <x:v>Balance Sheet &amp; Capital Structure</x:v>
      </x:c>
      <x:c r="B21" s="58" t="str">
        <x:v>Balance Sheet &amp; Capital Structure</x:v>
      </x:c>
      <x:c r="C21" s="58" t="str">
        <x:v>Balance Sheet &amp; Capital Structure</x:v>
      </x:c>
      <x:c r="D21" s="58" t="str">
        <x:v>Balance Sheet &amp; Capital Structure</x:v>
      </x:c>
      <x:c r="E21" s="58" t="str">
        <x:v>Balance Sheet &amp; Capital Structure</x:v>
      </x:c>
      <x:c r="F21" s="58" t="str">
        <x:v>Balance Sheet &amp; Capital Structure</x:v>
      </x:c>
      <x:c r="G21" s="58" t="str">
        <x:v>Balance Sheet &amp; Capital Structure</x:v>
      </x:c>
      <x:c r="H21" s="58" t="str">
        <x:v>Balance Sheet &amp; Capital Structure</x:v>
      </x:c>
      <x:c r="I21" s="234"/>
      <x:c r="J21" s="234"/>
      <x:c r="K21" s="234"/>
      <x:c r="L21" s="234"/>
      <x:c r="M21" s="234"/>
      <x:c r="N21" s="234"/>
      <x:c r="O21" s="234"/>
      <x:c r="P21" s="234"/>
      <x:c r="Q21" s="234"/>
      <x:c r="R21" s="234"/>
      <x:c r="S21" s="234"/>
      <x:c r="T21" s="234"/>
      <x:c r="U21" s="234"/>
      <x:c r="V21" s="234"/>
      <x:c r="W21" s="234"/>
      <x:c r="X21" s="234"/>
      <x:c r="Y21" s="234"/>
      <x:c r="Z21" s="234"/>
    </x:row>
    <x:row r="22">
      <x:c r="A22" s="28" t="str">
        <x:v>Metric</x:v>
      </x:c>
      <x:c r="B22" s="28" t="str">
        <x:v>Units</x:v>
      </x:c>
      <x:c r="C22" s="28" t="str">
        <x:v>2019</x:v>
      </x:c>
      <x:c r="D22" s="28" t="str">
        <x:v>2020</x:v>
      </x:c>
      <x:c r="E22" s="28" t="str">
        <x:v>2021</x:v>
      </x:c>
      <x:c r="F22" s="28" t="str">
        <x:v>2022</x:v>
      </x:c>
      <x:c r="G22" s="28" t="str">
        <x:v>2023</x:v>
      </x:c>
      <x:c r="H22" s="28" t="str">
        <x:v>2024</x:v>
      </x:c>
      <x:c r="I22" s="234"/>
      <x:c r="J22" s="234"/>
      <x:c r="K22" s="234"/>
      <x:c r="L22" s="234"/>
      <x:c r="M22" s="234"/>
      <x:c r="N22" s="234"/>
      <x:c r="O22" s="234"/>
      <x:c r="P22" s="234"/>
      <x:c r="Q22" s="234"/>
      <x:c r="R22" s="234"/>
      <x:c r="S22" s="234"/>
      <x:c r="T22" s="234"/>
      <x:c r="U22" s="234"/>
      <x:c r="V22" s="234"/>
      <x:c r="W22" s="234"/>
      <x:c r="X22" s="234"/>
      <x:c r="Y22" s="234"/>
      <x:c r="Z22" s="234"/>
    </x:row>
    <x:row r="23">
      <x:c r="A23" s="235" t="str">
        <x:v>Total assets</x:v>
      </x:c>
      <x:c r="B23" s="235" t="str">
        <x:v>€bn</x:v>
      </x:c>
      <x:c r="C23" s="272" t="n">
        <x:v>64.806</x:v>
      </x:c>
      <x:c r="D23" s="272" t="n">
        <x:v>67.659</x:v>
      </x:c>
      <x:c r="E23" s="272" t="n">
        <x:v>75.095</x:v>
      </x:c>
      <x:c r="F23" s="272" t="n">
        <x:v>77.821</x:v>
      </x:c>
      <x:c r="G23" s="272" t="n">
        <x:v>75.266</x:v>
      </x:c>
      <x:c r="H23" s="272" t="n">
        <x:v>79.75</x:v>
      </x:c>
      <x:c r="I23" s="234"/>
      <x:c r="J23" s="234"/>
      <x:c r="K23" s="234"/>
      <x:c r="L23" s="234"/>
      <x:c r="M23" s="234"/>
      <x:c r="N23" s="234"/>
      <x:c r="O23" s="234"/>
      <x:c r="P23" s="234"/>
      <x:c r="Q23" s="234"/>
      <x:c r="R23" s="234"/>
      <x:c r="S23" s="234"/>
      <x:c r="T23" s="234"/>
      <x:c r="U23" s="234"/>
      <x:c r="V23" s="234"/>
      <x:c r="W23" s="234"/>
      <x:c r="X23" s="234"/>
      <x:c r="Y23" s="234"/>
      <x:c r="Z23" s="234"/>
    </x:row>
    <x:row r="24">
      <x:c r="A24" s="235" t="str">
        <x:v>Shareholders' equity</x:v>
      </x:c>
      <x:c r="B24" s="235" t="str">
        <x:v>€bn</x:v>
      </x:c>
      <x:c r="C24" s="272" t="n">
        <x:v>13.192</x:v>
      </x:c>
      <x:c r="D24" s="272" t="n">
        <x:v>15.266</x:v>
      </x:c>
      <x:c r="E24" s="272" t="n">
        <x:v>17.107</x:v>
      </x:c>
      <x:c r="F24" s="272" t="n">
        <x:v>19.021</x:v>
      </x:c>
      <x:c r="G24" s="272" t="n">
        <x:v>18.102</x:v>
      </x:c>
      <x:c r="H24" s="272" t="n">
        <x:v>19.99</x:v>
      </x:c>
      <x:c r="I24" s="234"/>
      <x:c r="J24" s="234"/>
      <x:c r="K24" s="234"/>
      <x:c r="L24" s="234"/>
      <x:c r="M24" s="234"/>
      <x:c r="N24" s="234"/>
      <x:c r="O24" s="234"/>
      <x:c r="P24" s="234"/>
      <x:c r="Q24" s="234"/>
      <x:c r="R24" s="234"/>
      <x:c r="S24" s="234"/>
      <x:c r="T24" s="234"/>
      <x:c r="U24" s="234"/>
      <x:c r="V24" s="234"/>
      <x:c r="W24" s="234"/>
      <x:c r="X24" s="234"/>
      <x:c r="Y24" s="234"/>
      <x:c r="Z24" s="234"/>
    </x:row>
    <x:row r="25">
      <x:c r="A25" s="235" t="str">
        <x:v>Net debt</x:v>
      </x:c>
      <x:c r="B25" s="235" t="str">
        <x:v>€bn</x:v>
      </x:c>
      <x:c r="C25" s="272"/>
      <x:c r="D25" s="272" t="n">
        <x:v>20.928</x:v>
      </x:c>
      <x:c r="E25" s="272" t="n">
        <x:v>25.51</x:v>
      </x:c>
      <x:c r="F25" s="272" t="n">
        <x:v>23.676</x:v>
      </x:c>
      <x:c r="G25" s="272" t="n">
        <x:v>23.657</x:v>
      </x:c>
      <x:c r="H25" s="272" t="n">
        <x:v>24.519</x:v>
      </x:c>
      <x:c r="I25" s="234"/>
      <x:c r="J25" s="234"/>
      <x:c r="K25" s="234"/>
      <x:c r="L25" s="234"/>
      <x:c r="M25" s="234"/>
      <x:c r="N25" s="234"/>
      <x:c r="O25" s="234"/>
      <x:c r="P25" s="234"/>
      <x:c r="Q25" s="234"/>
      <x:c r="R25" s="234"/>
      <x:c r="S25" s="234"/>
      <x:c r="T25" s="234"/>
      <x:c r="U25" s="234"/>
      <x:c r="V25" s="234"/>
      <x:c r="W25" s="234"/>
      <x:c r="X25" s="234"/>
      <x:c r="Y25" s="234"/>
      <x:c r="Z25" s="234"/>
    </x:row>
    <x:row r="26">
      <x:c r="A26" s="235"/>
      <x:c r="B26" s="235"/>
      <x:c r="C26" s="235"/>
      <x:c r="D26" s="235"/>
      <x:c r="E26" s="235"/>
      <x:c r="F26" s="235"/>
      <x:c r="G26" s="235"/>
      <x:c r="H26" s="235"/>
      <x:c r="I26" s="234"/>
      <x:c r="J26" s="234"/>
      <x:c r="K26" s="234"/>
      <x:c r="L26" s="234"/>
      <x:c r="M26" s="234"/>
      <x:c r="N26" s="234"/>
      <x:c r="O26" s="234"/>
      <x:c r="P26" s="234"/>
      <x:c r="Q26" s="234"/>
      <x:c r="R26" s="234"/>
      <x:c r="S26" s="234"/>
      <x:c r="T26" s="234"/>
      <x:c r="U26" s="234"/>
      <x:c r="V26" s="234"/>
      <x:c r="W26" s="234"/>
      <x:c r="X26" s="234"/>
      <x:c r="Y26" s="234"/>
      <x:c r="Z26" s="234"/>
    </x:row>
    <x:row r="27" ht="36" customHeight="1">
      <x:c r="A27" s="276" t="str">
        <x:v>Note</x:v>
      </x:c>
      <x:c r="B27" s="235" t="str"/>
      <x:c r="C27" s="235" t="str"/>
      <x:c r="D27" s="235" t="str">
        <x:v>2022 reported profit includes a €2.335bn gain on disposal of the global tea business; this distorts reported ROE/EPS versus underlying economics.</x:v>
      </x:c>
      <x:c r="E27" s="235" t="str"/>
      <x:c r="F27" s="235" t="str"/>
      <x:c r="G27" s="235" t="str"/>
      <x:c r="H27" s="235" t="str"/>
      <x:c r="I27" s="234"/>
      <x:c r="J27" s="234"/>
      <x:c r="K27" s="234"/>
      <x:c r="L27" s="234"/>
      <x:c r="M27" s="234"/>
      <x:c r="N27" s="234"/>
      <x:c r="O27" s="234"/>
      <x:c r="P27" s="234"/>
      <x:c r="Q27" s="234"/>
      <x:c r="R27" s="234"/>
      <x:c r="S27" s="234"/>
      <x:c r="T27" s="234"/>
      <x:c r="U27" s="234"/>
      <x:c r="V27" s="234"/>
      <x:c r="W27" s="234"/>
      <x:c r="X27" s="234"/>
      <x:c r="Y27" s="234"/>
      <x:c r="Z27" s="234"/>
    </x:row>
    <x:row r="28">
      <x:c r="A28" s="235"/>
      <x:c r="B28" s="235"/>
      <x:c r="C28" s="235"/>
      <x:c r="D28" s="235"/>
      <x:c r="E28" s="235"/>
      <x:c r="F28" s="235"/>
      <x:c r="G28" s="235"/>
      <x:c r="H28" s="235"/>
      <x:c r="I28" s="234"/>
      <x:c r="J28" s="234"/>
      <x:c r="K28" s="234"/>
      <x:c r="L28" s="234"/>
      <x:c r="M28" s="234"/>
      <x:c r="N28" s="234"/>
      <x:c r="O28" s="234"/>
      <x:c r="P28" s="234"/>
      <x:c r="Q28" s="234"/>
      <x:c r="R28" s="234"/>
      <x:c r="S28" s="234"/>
      <x:c r="T28" s="234"/>
      <x:c r="U28" s="234"/>
      <x:c r="V28" s="234"/>
      <x:c r="W28" s="234"/>
      <x:c r="X28" s="234"/>
      <x:c r="Y28" s="234"/>
      <x:c r="Z28" s="234"/>
    </x:row>
    <x:row r="29">
      <x:c r="A29" s="235"/>
      <x:c r="B29" s="235"/>
      <x:c r="C29" s="235"/>
      <x:c r="D29" s="235"/>
      <x:c r="E29" s="235"/>
      <x:c r="F29" s="235"/>
      <x:c r="G29" s="235"/>
      <x:c r="H29" s="235"/>
      <x:c r="I29" s="234"/>
      <x:c r="J29" s="234"/>
      <x:c r="K29" s="234"/>
      <x:c r="L29" s="234"/>
      <x:c r="M29" s="234"/>
      <x:c r="N29" s="234"/>
      <x:c r="O29" s="234"/>
      <x:c r="P29" s="234"/>
      <x:c r="Q29" s="234"/>
      <x:c r="R29" s="234"/>
      <x:c r="S29" s="234"/>
      <x:c r="T29" s="234"/>
      <x:c r="U29" s="234"/>
      <x:c r="V29" s="234"/>
      <x:c r="W29" s="234"/>
      <x:c r="X29" s="234"/>
      <x:c r="Y29" s="234"/>
      <x:c r="Z29" s="234"/>
    </x:row>
    <x:row r="30">
      <x:c r="A30" s="235"/>
      <x:c r="B30" s="235"/>
      <x:c r="C30" s="235"/>
      <x:c r="D30" s="235"/>
      <x:c r="E30" s="235"/>
      <x:c r="F30" s="235"/>
      <x:c r="G30" s="235"/>
      <x:c r="H30" s="235"/>
      <x:c r="I30" s="234"/>
      <x:c r="J30" s="234"/>
      <x:c r="K30" s="234"/>
      <x:c r="L30" s="234"/>
      <x:c r="M30" s="234"/>
      <x:c r="N30" s="234"/>
      <x:c r="O30" s="234"/>
      <x:c r="P30" s="234"/>
      <x:c r="Q30" s="234"/>
      <x:c r="R30" s="234"/>
      <x:c r="S30" s="234"/>
      <x:c r="T30" s="234"/>
      <x:c r="U30" s="234"/>
      <x:c r="V30" s="234"/>
      <x:c r="W30" s="234"/>
      <x:c r="X30" s="234"/>
      <x:c r="Y30" s="234"/>
      <x:c r="Z30" s="234"/>
    </x:row>
    <x:row r="31">
      <x:c r="A31" s="234"/>
      <x:c r="B31" s="234"/>
      <x:c r="C31" s="234"/>
      <x:c r="D31" s="234"/>
      <x:c r="E31" s="234"/>
      <x:c r="F31" s="234"/>
      <x:c r="G31" s="234"/>
      <x:c r="H31" s="234"/>
      <x:c r="I31" s="234"/>
      <x:c r="J31" s="234"/>
      <x:c r="K31" s="234"/>
      <x:c r="L31" s="234"/>
      <x:c r="M31" s="234"/>
      <x:c r="N31" s="234"/>
      <x:c r="O31" s="234"/>
      <x:c r="P31" s="234"/>
      <x:c r="Q31" s="234"/>
      <x:c r="R31" s="234"/>
      <x:c r="S31" s="234"/>
      <x:c r="T31" s="234"/>
      <x:c r="U31" s="234"/>
      <x:c r="V31" s="234"/>
      <x:c r="W31" s="234"/>
      <x:c r="X31" s="234"/>
      <x:c r="Y31" s="234"/>
      <x:c r="Z31" s="234"/>
    </x:row>
    <x:row r="32">
      <x:c r="A32" s="234"/>
      <x:c r="B32" s="234"/>
      <x:c r="C32" s="234"/>
      <x:c r="D32" s="234"/>
      <x:c r="E32" s="234"/>
      <x:c r="F32" s="234"/>
      <x:c r="G32" s="234"/>
      <x:c r="H32" s="234"/>
      <x:c r="I32" s="234"/>
      <x:c r="J32" s="234"/>
      <x:c r="K32" s="234"/>
      <x:c r="L32" s="234"/>
      <x:c r="M32" s="234"/>
      <x:c r="N32" s="234"/>
      <x:c r="O32" s="234"/>
      <x:c r="P32" s="234"/>
      <x:c r="Q32" s="234"/>
      <x:c r="R32" s="234"/>
      <x:c r="S32" s="234"/>
      <x:c r="T32" s="234"/>
      <x:c r="U32" s="234"/>
      <x:c r="V32" s="234"/>
      <x:c r="W32" s="234"/>
      <x:c r="X32" s="234"/>
      <x:c r="Y32" s="234"/>
      <x:c r="Z32" s="234"/>
    </x:row>
    <x:row r="33">
      <x:c r="A33" s="234"/>
      <x:c r="B33" s="234"/>
      <x:c r="C33" s="234"/>
      <x:c r="D33" s="234"/>
      <x:c r="E33" s="234"/>
      <x:c r="F33" s="234"/>
      <x:c r="G33" s="234"/>
      <x:c r="H33" s="234"/>
      <x:c r="I33" s="234"/>
      <x:c r="J33" s="234"/>
      <x:c r="K33" s="234"/>
      <x:c r="L33" s="234"/>
      <x:c r="M33" s="234"/>
      <x:c r="N33" s="234"/>
      <x:c r="O33" s="234"/>
      <x:c r="P33" s="234"/>
      <x:c r="Q33" s="234"/>
      <x:c r="R33" s="234"/>
      <x:c r="S33" s="234"/>
      <x:c r="T33" s="234"/>
      <x:c r="U33" s="234"/>
      <x:c r="V33" s="234"/>
      <x:c r="W33" s="234"/>
      <x:c r="X33" s="234"/>
      <x:c r="Y33" s="234"/>
      <x:c r="Z33" s="234"/>
    </x:row>
    <x:row r="34">
      <x:c r="A34" s="234"/>
      <x:c r="B34" s="234"/>
      <x:c r="C34" s="234"/>
      <x:c r="D34" s="234"/>
      <x:c r="E34" s="234"/>
      <x:c r="F34" s="234"/>
      <x:c r="G34" s="234"/>
      <x:c r="H34" s="234"/>
      <x:c r="I34" s="234"/>
      <x:c r="J34" s="234"/>
      <x:c r="K34" s="234"/>
      <x:c r="L34" s="234"/>
      <x:c r="M34" s="234"/>
      <x:c r="N34" s="234"/>
      <x:c r="O34" s="234"/>
      <x:c r="P34" s="234"/>
      <x:c r="Q34" s="234"/>
      <x:c r="R34" s="234"/>
      <x:c r="S34" s="234"/>
      <x:c r="T34" s="234"/>
      <x:c r="U34" s="234"/>
      <x:c r="V34" s="234"/>
      <x:c r="W34" s="234"/>
      <x:c r="X34" s="234"/>
      <x:c r="Y34" s="234"/>
      <x:c r="Z34" s="234"/>
    </x:row>
    <x:row r="35">
      <x:c r="A35" s="234"/>
      <x:c r="B35" s="234"/>
      <x:c r="C35" s="234"/>
      <x:c r="D35" s="234"/>
      <x:c r="E35" s="234"/>
      <x:c r="F35" s="234"/>
      <x:c r="G35" s="234"/>
      <x:c r="H35" s="234"/>
      <x:c r="I35" s="234"/>
      <x:c r="J35" s="234"/>
      <x:c r="K35" s="234"/>
      <x:c r="L35" s="234"/>
      <x:c r="M35" s="234"/>
      <x:c r="N35" s="234"/>
      <x:c r="O35" s="234"/>
      <x:c r="P35" s="234"/>
      <x:c r="Q35" s="234"/>
      <x:c r="R35" s="234"/>
      <x:c r="S35" s="234"/>
      <x:c r="T35" s="234"/>
      <x:c r="U35" s="234"/>
      <x:c r="V35" s="234"/>
      <x:c r="W35" s="234"/>
      <x:c r="X35" s="234"/>
      <x:c r="Y35" s="234"/>
      <x:c r="Z35" s="234"/>
    </x:row>
    <x:row r="36">
      <x:c r="A36" s="234"/>
      <x:c r="B36" s="234"/>
      <x:c r="C36" s="234"/>
      <x:c r="D36" s="234"/>
      <x:c r="E36" s="234"/>
      <x:c r="F36" s="234"/>
      <x:c r="G36" s="234"/>
      <x:c r="H36" s="234"/>
      <x:c r="I36" s="234"/>
      <x:c r="J36" s="234"/>
      <x:c r="K36" s="234"/>
      <x:c r="L36" s="234"/>
      <x:c r="M36" s="234"/>
      <x:c r="N36" s="234"/>
      <x:c r="O36" s="234"/>
      <x:c r="P36" s="234"/>
      <x:c r="Q36" s="234"/>
      <x:c r="R36" s="234"/>
      <x:c r="S36" s="234"/>
      <x:c r="T36" s="234"/>
      <x:c r="U36" s="234"/>
      <x:c r="V36" s="234"/>
      <x:c r="W36" s="234"/>
      <x:c r="X36" s="234"/>
      <x:c r="Y36" s="234"/>
      <x:c r="Z36" s="234"/>
    </x:row>
    <x:row r="37">
      <x:c r="A37" s="234"/>
      <x:c r="B37" s="234"/>
      <x:c r="C37" s="234"/>
      <x:c r="D37" s="234"/>
      <x:c r="E37" s="234"/>
      <x:c r="F37" s="234"/>
      <x:c r="G37" s="234"/>
      <x:c r="H37" s="234"/>
      <x:c r="I37" s="234"/>
      <x:c r="J37" s="234"/>
      <x:c r="K37" s="234"/>
      <x:c r="L37" s="234"/>
      <x:c r="M37" s="234"/>
      <x:c r="N37" s="234"/>
      <x:c r="O37" s="234"/>
      <x:c r="P37" s="234"/>
      <x:c r="Q37" s="234"/>
      <x:c r="R37" s="234"/>
      <x:c r="S37" s="234"/>
      <x:c r="T37" s="234"/>
      <x:c r="U37" s="234"/>
      <x:c r="V37" s="234"/>
      <x:c r="W37" s="234"/>
      <x:c r="X37" s="234"/>
      <x:c r="Y37" s="234"/>
      <x:c r="Z37" s="234"/>
    </x:row>
    <x:row r="38">
      <x:c r="A38" s="234"/>
      <x:c r="B38" s="234"/>
      <x:c r="C38" s="234"/>
      <x:c r="D38" s="234"/>
      <x:c r="E38" s="234"/>
      <x:c r="F38" s="234"/>
      <x:c r="G38" s="234"/>
      <x:c r="H38" s="234"/>
      <x:c r="I38" s="234"/>
      <x:c r="J38" s="234"/>
      <x:c r="K38" s="234"/>
      <x:c r="L38" s="234"/>
      <x:c r="M38" s="234"/>
      <x:c r="N38" s="234"/>
      <x:c r="O38" s="234"/>
      <x:c r="P38" s="234"/>
      <x:c r="Q38" s="234"/>
      <x:c r="R38" s="234"/>
      <x:c r="S38" s="234"/>
      <x:c r="T38" s="234"/>
      <x:c r="U38" s="234"/>
      <x:c r="V38" s="234"/>
      <x:c r="W38" s="234"/>
      <x:c r="X38" s="234"/>
      <x:c r="Y38" s="234"/>
      <x:c r="Z38" s="234"/>
    </x:row>
    <x:row r="39">
      <x:c r="A39" s="234"/>
      <x:c r="B39" s="234"/>
      <x:c r="C39" s="234"/>
      <x:c r="D39" s="234"/>
      <x:c r="E39" s="234"/>
      <x:c r="F39" s="234"/>
      <x:c r="G39" s="234"/>
      <x:c r="H39" s="234"/>
      <x:c r="I39" s="234"/>
      <x:c r="J39" s="234"/>
      <x:c r="K39" s="234"/>
      <x:c r="L39" s="234"/>
      <x:c r="M39" s="234"/>
      <x:c r="N39" s="234"/>
      <x:c r="O39" s="234"/>
      <x:c r="P39" s="234"/>
      <x:c r="Q39" s="234"/>
      <x:c r="R39" s="234"/>
      <x:c r="S39" s="234"/>
      <x:c r="T39" s="234"/>
      <x:c r="U39" s="234"/>
      <x:c r="V39" s="234"/>
      <x:c r="W39" s="234"/>
      <x:c r="X39" s="234"/>
      <x:c r="Y39" s="234"/>
      <x:c r="Z39" s="234"/>
    </x:row>
    <x:row r="40">
      <x:c r="A40" s="234"/>
      <x:c r="B40" s="234"/>
      <x:c r="C40" s="234"/>
      <x:c r="D40" s="234"/>
      <x:c r="E40" s="234"/>
      <x:c r="F40" s="234"/>
      <x:c r="G40" s="234"/>
      <x:c r="H40" s="234"/>
      <x:c r="I40" s="234"/>
      <x:c r="J40" s="234"/>
      <x:c r="K40" s="234"/>
      <x:c r="L40" s="234"/>
      <x:c r="M40" s="234"/>
      <x:c r="N40" s="234"/>
      <x:c r="O40" s="234"/>
      <x:c r="P40" s="234"/>
      <x:c r="Q40" s="234"/>
      <x:c r="R40" s="234"/>
      <x:c r="S40" s="234"/>
      <x:c r="T40" s="234"/>
      <x:c r="U40" s="234"/>
      <x:c r="V40" s="234"/>
      <x:c r="W40" s="234"/>
      <x:c r="X40" s="234"/>
      <x:c r="Y40" s="234"/>
      <x:c r="Z40" s="234"/>
    </x:row>
    <x:row r="41">
      <x:c r="A41" s="234"/>
      <x:c r="B41" s="234"/>
      <x:c r="C41" s="234"/>
      <x:c r="D41" s="234"/>
      <x:c r="E41" s="234"/>
      <x:c r="F41" s="234"/>
      <x:c r="G41" s="234"/>
      <x:c r="H41" s="234"/>
      <x:c r="I41" s="234"/>
      <x:c r="J41" s="234"/>
      <x:c r="K41" s="234"/>
      <x:c r="L41" s="234"/>
      <x:c r="M41" s="234"/>
      <x:c r="N41" s="234"/>
      <x:c r="O41" s="234"/>
      <x:c r="P41" s="234"/>
      <x:c r="Q41" s="234"/>
      <x:c r="R41" s="234"/>
      <x:c r="S41" s="234"/>
      <x:c r="T41" s="234"/>
      <x:c r="U41" s="234"/>
      <x:c r="V41" s="234"/>
      <x:c r="W41" s="234"/>
      <x:c r="X41" s="234"/>
      <x:c r="Y41" s="234"/>
      <x:c r="Z41" s="234"/>
    </x:row>
    <x:row r="42">
      <x:c r="A42" s="234"/>
      <x:c r="B42" s="234"/>
      <x:c r="C42" s="234"/>
      <x:c r="D42" s="234"/>
      <x:c r="E42" s="234"/>
      <x:c r="F42" s="234"/>
      <x:c r="G42" s="234"/>
      <x:c r="H42" s="234"/>
      <x:c r="I42" s="234"/>
      <x:c r="J42" s="234"/>
      <x:c r="K42" s="234"/>
      <x:c r="L42" s="234"/>
      <x:c r="M42" s="234"/>
      <x:c r="N42" s="234"/>
      <x:c r="O42" s="234"/>
      <x:c r="P42" s="234"/>
      <x:c r="Q42" s="234"/>
      <x:c r="R42" s="234"/>
      <x:c r="S42" s="234"/>
      <x:c r="T42" s="234"/>
      <x:c r="U42" s="234"/>
      <x:c r="V42" s="234"/>
      <x:c r="W42" s="234"/>
      <x:c r="X42" s="234"/>
      <x:c r="Y42" s="234"/>
      <x:c r="Z42" s="234"/>
    </x:row>
    <x:row r="43">
      <x:c r="A43" s="234"/>
      <x:c r="B43" s="234"/>
      <x:c r="C43" s="234"/>
      <x:c r="D43" s="234"/>
      <x:c r="E43" s="234"/>
      <x:c r="F43" s="234"/>
      <x:c r="G43" s="234"/>
      <x:c r="H43" s="234"/>
      <x:c r="I43" s="234"/>
      <x:c r="J43" s="234"/>
      <x:c r="K43" s="234"/>
      <x:c r="L43" s="234"/>
      <x:c r="M43" s="234"/>
      <x:c r="N43" s="234"/>
      <x:c r="O43" s="234"/>
      <x:c r="P43" s="234"/>
      <x:c r="Q43" s="234"/>
      <x:c r="R43" s="234"/>
      <x:c r="S43" s="234"/>
      <x:c r="T43" s="234"/>
      <x:c r="U43" s="234"/>
      <x:c r="V43" s="234"/>
      <x:c r="W43" s="234"/>
      <x:c r="X43" s="234"/>
      <x:c r="Y43" s="234"/>
      <x:c r="Z43" s="234"/>
    </x:row>
    <x:row r="44">
      <x:c r="A44" s="234"/>
      <x:c r="B44" s="234"/>
      <x:c r="C44" s="234"/>
      <x:c r="D44" s="234"/>
      <x:c r="E44" s="234"/>
      <x:c r="F44" s="234"/>
      <x:c r="G44" s="234"/>
      <x:c r="H44" s="234"/>
      <x:c r="I44" s="234"/>
      <x:c r="J44" s="234"/>
      <x:c r="K44" s="234"/>
      <x:c r="L44" s="234"/>
      <x:c r="M44" s="234"/>
      <x:c r="N44" s="234"/>
      <x:c r="O44" s="234"/>
      <x:c r="P44" s="234"/>
      <x:c r="Q44" s="234"/>
      <x:c r="R44" s="234"/>
      <x:c r="S44" s="234"/>
      <x:c r="T44" s="234"/>
      <x:c r="U44" s="234"/>
      <x:c r="V44" s="234"/>
      <x:c r="W44" s="234"/>
      <x:c r="X44" s="234"/>
      <x:c r="Y44" s="234"/>
      <x:c r="Z44" s="234"/>
    </x:row>
    <x:row r="45">
      <x:c r="A45" s="234"/>
      <x:c r="B45" s="234"/>
      <x:c r="C45" s="234"/>
      <x:c r="D45" s="234"/>
      <x:c r="E45" s="234"/>
      <x:c r="F45" s="234"/>
      <x:c r="G45" s="234"/>
      <x:c r="H45" s="234"/>
      <x:c r="I45" s="234"/>
      <x:c r="J45" s="234"/>
      <x:c r="K45" s="234"/>
      <x:c r="L45" s="234"/>
      <x:c r="M45" s="234"/>
      <x:c r="N45" s="234"/>
      <x:c r="O45" s="234"/>
      <x:c r="P45" s="234"/>
      <x:c r="Q45" s="234"/>
      <x:c r="R45" s="234"/>
      <x:c r="S45" s="234"/>
      <x:c r="T45" s="234"/>
      <x:c r="U45" s="234"/>
      <x:c r="V45" s="234"/>
      <x:c r="W45" s="234"/>
      <x:c r="X45" s="234"/>
      <x:c r="Y45" s="234"/>
      <x:c r="Z45" s="234"/>
    </x:row>
    <x:row r="46">
      <x:c r="A46" s="234"/>
      <x:c r="B46" s="234"/>
      <x:c r="C46" s="234"/>
      <x:c r="D46" s="234"/>
      <x:c r="E46" s="234"/>
      <x:c r="F46" s="234"/>
      <x:c r="G46" s="234"/>
      <x:c r="H46" s="234"/>
      <x:c r="I46" s="234"/>
      <x:c r="J46" s="234"/>
      <x:c r="K46" s="234"/>
      <x:c r="L46" s="234"/>
      <x:c r="M46" s="234"/>
      <x:c r="N46" s="234"/>
      <x:c r="O46" s="234"/>
      <x:c r="P46" s="234"/>
      <x:c r="Q46" s="234"/>
      <x:c r="R46" s="234"/>
      <x:c r="S46" s="234"/>
      <x:c r="T46" s="234"/>
      <x:c r="U46" s="234"/>
      <x:c r="V46" s="234"/>
      <x:c r="W46" s="234"/>
      <x:c r="X46" s="234"/>
      <x:c r="Y46" s="234"/>
      <x:c r="Z46" s="234"/>
    </x:row>
    <x:row r="47">
      <x:c r="A47" s="234"/>
      <x:c r="B47" s="234"/>
      <x:c r="C47" s="234"/>
      <x:c r="D47" s="234"/>
      <x:c r="E47" s="234"/>
      <x:c r="F47" s="234"/>
      <x:c r="G47" s="234"/>
      <x:c r="H47" s="234"/>
      <x:c r="I47" s="234"/>
      <x:c r="J47" s="234"/>
      <x:c r="K47" s="234"/>
      <x:c r="L47" s="234"/>
      <x:c r="M47" s="234"/>
      <x:c r="N47" s="234"/>
      <x:c r="O47" s="234"/>
      <x:c r="P47" s="234"/>
      <x:c r="Q47" s="234"/>
      <x:c r="R47" s="234"/>
      <x:c r="S47" s="234"/>
      <x:c r="T47" s="234"/>
      <x:c r="U47" s="234"/>
      <x:c r="V47" s="234"/>
      <x:c r="W47" s="234"/>
      <x:c r="X47" s="234"/>
      <x:c r="Y47" s="234"/>
      <x:c r="Z47" s="234"/>
    </x:row>
    <x:row r="48">
      <x:c r="A48" s="234"/>
      <x:c r="B48" s="234"/>
      <x:c r="C48" s="234"/>
      <x:c r="D48" s="234"/>
      <x:c r="E48" s="234"/>
      <x:c r="F48" s="234"/>
      <x:c r="G48" s="234"/>
      <x:c r="H48" s="234"/>
      <x:c r="I48" s="234"/>
      <x:c r="J48" s="234"/>
      <x:c r="K48" s="234"/>
      <x:c r="L48" s="234"/>
      <x:c r="M48" s="234"/>
      <x:c r="N48" s="234"/>
      <x:c r="O48" s="234"/>
      <x:c r="P48" s="234"/>
      <x:c r="Q48" s="234"/>
      <x:c r="R48" s="234"/>
      <x:c r="S48" s="234"/>
      <x:c r="T48" s="234"/>
      <x:c r="U48" s="234"/>
      <x:c r="V48" s="234"/>
      <x:c r="W48" s="234"/>
      <x:c r="X48" s="234"/>
      <x:c r="Y48" s="234"/>
      <x:c r="Z48" s="234"/>
    </x:row>
    <x:row r="49">
      <x:c r="A49" s="234"/>
      <x:c r="B49" s="234"/>
      <x:c r="C49" s="234"/>
      <x:c r="D49" s="234"/>
      <x:c r="E49" s="234"/>
      <x:c r="F49" s="234"/>
      <x:c r="G49" s="234"/>
      <x:c r="H49" s="234"/>
      <x:c r="I49" s="234"/>
      <x:c r="J49" s="234"/>
      <x:c r="K49" s="234"/>
      <x:c r="L49" s="234"/>
      <x:c r="M49" s="234"/>
      <x:c r="N49" s="234"/>
      <x:c r="O49" s="234"/>
      <x:c r="P49" s="234"/>
      <x:c r="Q49" s="234"/>
      <x:c r="R49" s="234"/>
      <x:c r="S49" s="234"/>
      <x:c r="T49" s="234"/>
      <x:c r="U49" s="234"/>
      <x:c r="V49" s="234"/>
      <x:c r="W49" s="234"/>
      <x:c r="X49" s="234"/>
      <x:c r="Y49" s="234"/>
      <x:c r="Z49" s="234"/>
    </x:row>
    <x:row r="50">
      <x:c r="A50" s="234"/>
      <x:c r="B50" s="234"/>
      <x:c r="C50" s="234"/>
      <x:c r="D50" s="234"/>
      <x:c r="E50" s="234"/>
      <x:c r="F50" s="234"/>
      <x:c r="G50" s="234"/>
      <x:c r="H50" s="234"/>
      <x:c r="I50" s="234"/>
      <x:c r="J50" s="234"/>
      <x:c r="K50" s="234"/>
      <x:c r="L50" s="234"/>
      <x:c r="M50" s="234"/>
      <x:c r="N50" s="234"/>
      <x:c r="O50" s="234"/>
      <x:c r="P50" s="234"/>
      <x:c r="Q50" s="234"/>
      <x:c r="R50" s="234"/>
      <x:c r="S50" s="234"/>
      <x:c r="T50" s="234"/>
      <x:c r="U50" s="234"/>
      <x:c r="V50" s="234"/>
      <x:c r="W50" s="234"/>
      <x:c r="X50" s="234"/>
      <x:c r="Y50" s="234"/>
      <x:c r="Z50" s="234"/>
    </x:row>
    <x:row r="51">
      <x:c r="A51" s="234"/>
      <x:c r="B51" s="234"/>
      <x:c r="C51" s="234"/>
      <x:c r="D51" s="234"/>
      <x:c r="E51" s="234"/>
      <x:c r="F51" s="234"/>
      <x:c r="G51" s="234"/>
      <x:c r="H51" s="234"/>
      <x:c r="I51" s="234"/>
      <x:c r="J51" s="234"/>
      <x:c r="K51" s="234"/>
      <x:c r="L51" s="234"/>
      <x:c r="M51" s="234"/>
      <x:c r="N51" s="234"/>
      <x:c r="O51" s="234"/>
      <x:c r="P51" s="234"/>
      <x:c r="Q51" s="234"/>
      <x:c r="R51" s="234"/>
      <x:c r="S51" s="234"/>
      <x:c r="T51" s="234"/>
      <x:c r="U51" s="234"/>
      <x:c r="V51" s="234"/>
      <x:c r="W51" s="234"/>
      <x:c r="X51" s="234"/>
      <x:c r="Y51" s="234"/>
      <x:c r="Z51" s="234"/>
    </x:row>
    <x:row r="52">
      <x:c r="A52" s="234"/>
      <x:c r="B52" s="234"/>
      <x:c r="C52" s="234"/>
      <x:c r="D52" s="234"/>
      <x:c r="E52" s="234"/>
      <x:c r="F52" s="234"/>
      <x:c r="G52" s="234"/>
      <x:c r="H52" s="234"/>
      <x:c r="I52" s="234"/>
      <x:c r="J52" s="234"/>
      <x:c r="K52" s="234"/>
      <x:c r="L52" s="234"/>
      <x:c r="M52" s="234"/>
      <x:c r="N52" s="234"/>
      <x:c r="O52" s="234"/>
      <x:c r="P52" s="234"/>
      <x:c r="Q52" s="234"/>
      <x:c r="R52" s="234"/>
      <x:c r="S52" s="234"/>
      <x:c r="T52" s="234"/>
      <x:c r="U52" s="234"/>
      <x:c r="V52" s="234"/>
      <x:c r="W52" s="234"/>
      <x:c r="X52" s="234"/>
      <x:c r="Y52" s="234"/>
      <x:c r="Z52" s="234"/>
    </x:row>
    <x:row r="53">
      <x:c r="A53" s="234"/>
      <x:c r="B53" s="234"/>
      <x:c r="C53" s="234"/>
      <x:c r="D53" s="234"/>
      <x:c r="E53" s="234"/>
      <x:c r="F53" s="234"/>
      <x:c r="G53" s="234"/>
      <x:c r="H53" s="234"/>
      <x:c r="I53" s="234"/>
      <x:c r="J53" s="234"/>
      <x:c r="K53" s="234"/>
      <x:c r="L53" s="234"/>
      <x:c r="M53" s="234"/>
      <x:c r="N53" s="234"/>
      <x:c r="O53" s="234"/>
      <x:c r="P53" s="234"/>
      <x:c r="Q53" s="234"/>
      <x:c r="R53" s="234"/>
      <x:c r="S53" s="234"/>
      <x:c r="T53" s="234"/>
      <x:c r="U53" s="234"/>
      <x:c r="V53" s="234"/>
      <x:c r="W53" s="234"/>
      <x:c r="X53" s="234"/>
      <x:c r="Y53" s="234"/>
      <x:c r="Z53" s="234"/>
    </x:row>
    <x:row r="54">
      <x:c r="A54" s="234"/>
      <x:c r="B54" s="234"/>
      <x:c r="C54" s="234"/>
      <x:c r="D54" s="234"/>
      <x:c r="E54" s="234"/>
      <x:c r="F54" s="234"/>
      <x:c r="G54" s="234"/>
      <x:c r="H54" s="234"/>
      <x:c r="I54" s="234"/>
      <x:c r="J54" s="234"/>
      <x:c r="K54" s="234"/>
      <x:c r="L54" s="234"/>
      <x:c r="M54" s="234"/>
      <x:c r="N54" s="234"/>
      <x:c r="O54" s="234"/>
      <x:c r="P54" s="234"/>
      <x:c r="Q54" s="234"/>
      <x:c r="R54" s="234"/>
      <x:c r="S54" s="234"/>
      <x:c r="T54" s="234"/>
      <x:c r="U54" s="234"/>
      <x:c r="V54" s="234"/>
      <x:c r="W54" s="234"/>
      <x:c r="X54" s="234"/>
      <x:c r="Y54" s="234"/>
      <x:c r="Z54" s="234"/>
    </x:row>
    <x:row r="55">
      <x:c r="A55" s="234"/>
      <x:c r="B55" s="234"/>
      <x:c r="C55" s="234"/>
      <x:c r="D55" s="234"/>
      <x:c r="E55" s="234"/>
      <x:c r="F55" s="234"/>
      <x:c r="G55" s="234"/>
      <x:c r="H55" s="234"/>
      <x:c r="I55" s="234"/>
      <x:c r="J55" s="234"/>
      <x:c r="K55" s="234"/>
      <x:c r="L55" s="234"/>
      <x:c r="M55" s="234"/>
      <x:c r="N55" s="234"/>
      <x:c r="O55" s="234"/>
      <x:c r="P55" s="234"/>
      <x:c r="Q55" s="234"/>
      <x:c r="R55" s="234"/>
      <x:c r="S55" s="234"/>
      <x:c r="T55" s="234"/>
      <x:c r="U55" s="234"/>
      <x:c r="V55" s="234"/>
      <x:c r="W55" s="234"/>
      <x:c r="X55" s="234"/>
      <x:c r="Y55" s="234"/>
      <x:c r="Z55" s="234"/>
    </x:row>
    <x:row r="56">
      <x:c r="A56" s="234"/>
      <x:c r="B56" s="234"/>
      <x:c r="C56" s="234"/>
      <x:c r="D56" s="234"/>
      <x:c r="E56" s="234"/>
      <x:c r="F56" s="234"/>
      <x:c r="G56" s="234"/>
      <x:c r="H56" s="234"/>
      <x:c r="I56" s="234"/>
      <x:c r="J56" s="234"/>
      <x:c r="K56" s="234"/>
      <x:c r="L56" s="234"/>
      <x:c r="M56" s="234"/>
      <x:c r="N56" s="234"/>
      <x:c r="O56" s="234"/>
      <x:c r="P56" s="234"/>
      <x:c r="Q56" s="234"/>
      <x:c r="R56" s="234"/>
      <x:c r="S56" s="234"/>
      <x:c r="T56" s="234"/>
      <x:c r="U56" s="234"/>
      <x:c r="V56" s="234"/>
      <x:c r="W56" s="234"/>
      <x:c r="X56" s="234"/>
      <x:c r="Y56" s="234"/>
      <x:c r="Z56" s="234"/>
    </x:row>
    <x:row r="57">
      <x:c r="A57" s="234"/>
      <x:c r="B57" s="234"/>
      <x:c r="C57" s="234"/>
      <x:c r="D57" s="234"/>
      <x:c r="E57" s="234"/>
      <x:c r="F57" s="234"/>
      <x:c r="G57" s="234"/>
      <x:c r="H57" s="234"/>
      <x:c r="I57" s="234"/>
      <x:c r="J57" s="234"/>
      <x:c r="K57" s="234"/>
      <x:c r="L57" s="234"/>
      <x:c r="M57" s="234"/>
      <x:c r="N57" s="234"/>
      <x:c r="O57" s="234"/>
      <x:c r="P57" s="234"/>
      <x:c r="Q57" s="234"/>
      <x:c r="R57" s="234"/>
      <x:c r="S57" s="234"/>
      <x:c r="T57" s="234"/>
      <x:c r="U57" s="234"/>
      <x:c r="V57" s="234"/>
      <x:c r="W57" s="234"/>
      <x:c r="X57" s="234"/>
      <x:c r="Y57" s="234"/>
      <x:c r="Z57" s="234"/>
    </x:row>
    <x:row r="58">
      <x:c r="A58" s="234"/>
      <x:c r="B58" s="234"/>
      <x:c r="C58" s="234"/>
      <x:c r="D58" s="234"/>
      <x:c r="E58" s="234"/>
      <x:c r="F58" s="234"/>
      <x:c r="G58" s="234"/>
      <x:c r="H58" s="234"/>
      <x:c r="I58" s="234"/>
      <x:c r="J58" s="234"/>
      <x:c r="K58" s="234"/>
      <x:c r="L58" s="234"/>
      <x:c r="M58" s="234"/>
      <x:c r="N58" s="234"/>
      <x:c r="O58" s="234"/>
      <x:c r="P58" s="234"/>
      <x:c r="Q58" s="234"/>
      <x:c r="R58" s="234"/>
      <x:c r="S58" s="234"/>
      <x:c r="T58" s="234"/>
      <x:c r="U58" s="234"/>
      <x:c r="V58" s="234"/>
      <x:c r="W58" s="234"/>
      <x:c r="X58" s="234"/>
      <x:c r="Y58" s="234"/>
      <x:c r="Z58" s="234"/>
    </x:row>
    <x:row r="59">
      <x:c r="A59" s="234"/>
      <x:c r="B59" s="234"/>
      <x:c r="C59" s="234"/>
      <x:c r="D59" s="234"/>
      <x:c r="E59" s="234"/>
      <x:c r="F59" s="234"/>
      <x:c r="G59" s="234"/>
      <x:c r="H59" s="234"/>
      <x:c r="I59" s="234"/>
      <x:c r="J59" s="234"/>
      <x:c r="K59" s="234"/>
      <x:c r="L59" s="234"/>
      <x:c r="M59" s="234"/>
      <x:c r="N59" s="234"/>
      <x:c r="O59" s="234"/>
      <x:c r="P59" s="234"/>
      <x:c r="Q59" s="234"/>
      <x:c r="R59" s="234"/>
      <x:c r="S59" s="234"/>
      <x:c r="T59" s="234"/>
      <x:c r="U59" s="234"/>
      <x:c r="V59" s="234"/>
      <x:c r="W59" s="234"/>
      <x:c r="X59" s="234"/>
      <x:c r="Y59" s="234"/>
      <x:c r="Z59" s="234"/>
    </x:row>
    <x:row r="60">
      <x:c r="A60" s="234"/>
      <x:c r="B60" s="234"/>
      <x:c r="C60" s="234"/>
      <x:c r="D60" s="234"/>
      <x:c r="E60" s="234"/>
      <x:c r="F60" s="234"/>
      <x:c r="G60" s="234"/>
      <x:c r="H60" s="234"/>
      <x:c r="I60" s="234"/>
      <x:c r="J60" s="234"/>
      <x:c r="K60" s="234"/>
      <x:c r="L60" s="234"/>
      <x:c r="M60" s="234"/>
      <x:c r="N60" s="234"/>
      <x:c r="O60" s="234"/>
      <x:c r="P60" s="234"/>
      <x:c r="Q60" s="234"/>
      <x:c r="R60" s="234"/>
      <x:c r="S60" s="234"/>
      <x:c r="T60" s="234"/>
      <x:c r="U60" s="234"/>
      <x:c r="V60" s="234"/>
      <x:c r="W60" s="234"/>
      <x:c r="X60" s="234"/>
      <x:c r="Y60" s="234"/>
      <x:c r="Z60" s="234"/>
    </x:row>
  </x:sheetData>
  <x:mergeCells>
    <x:mergeCell ref="A1:H1"/>
    <x:mergeCell ref="A3:H3"/>
    <x:mergeCell ref="A21:H21"/>
    <x:mergeCell ref="A27:H27"/>
  </x:mergeCells>
  <x:pageMargins left="0.7" right="0.7" top="0.75" bottom="0.75" header="0.3" footer="0.3"/>
  <x:drawing xmlns:r="http://schemas.openxmlformats.org/officeDocument/2006/relationships" r:id="R3c009d976e07422f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40" hidden="0" customWidth="1"/>
    <x:col min="9" max="9" width="18" hidden="0" customWidth="1"/>
  </x:cols>
  <x:sheetData>
    <x:row r="1" ht="28" customHeight="1">
      <x:c r="A1" s="26" t="str">
        <x:v>Return on Equity | 3-Step DuPont Analysis</x:v>
      </x:c>
      <x:c r="B1" s="26" t="str">
        <x:v>Return on Equity | 3-Step DuPont Analysis</x:v>
      </x:c>
      <x:c r="C1" s="26" t="str">
        <x:v>Return on Equity | 3-Step DuPont Analysis</x:v>
      </x:c>
      <x:c r="D1" s="26" t="str">
        <x:v>Return on Equity | 3-Step DuPont Analysis</x:v>
      </x:c>
      <x:c r="E1" s="26" t="str">
        <x:v>Return on Equity | 3-Step DuPont Analysis</x:v>
      </x:c>
      <x:c r="F1" s="26" t="str">
        <x:v>Return on Equity | 3-Step DuPont Analysis</x:v>
      </x:c>
      <x:c r="G1" s="26" t="str">
        <x:v>Return on Equity | 3-Step DuPont Analysis</x:v>
      </x:c>
      <x:c r="H1" s="26" t="str">
        <x:v>Return on Equity | 3-Step DuPont Analysis</x:v>
      </x:c>
      <x:c r="I1" s="26" t="str">
        <x:v>Return on Equity | 3-Step DuPont Analysis</x:v>
      </x:c>
      <x:c r="J1" s="234"/>
      <x:c r="K1" s="234"/>
      <x:c r="L1" s="234"/>
      <x:c r="M1" s="234"/>
      <x:c r="N1" s="234"/>
      <x:c r="O1" s="234"/>
      <x:c r="P1" s="234"/>
      <x:c r="Q1" s="234"/>
      <x:c r="R1" s="234"/>
      <x:c r="S1" s="234"/>
      <x:c r="T1" s="234"/>
      <x:c r="U1" s="234"/>
      <x:c r="V1" s="234"/>
      <x:c r="W1" s="234"/>
      <x:c r="X1" s="234"/>
      <x:c r="Y1" s="234"/>
      <x:c r="Z1" s="234"/>
    </x:row>
    <x:row r="2">
      <x:c r="A2" s="235"/>
      <x:c r="B2" s="235"/>
      <x:c r="C2" s="235"/>
      <x:c r="D2" s="235"/>
      <x:c r="E2" s="235"/>
      <x:c r="F2" s="235"/>
      <x:c r="G2" s="235"/>
      <x:c r="H2" s="235"/>
      <x:c r="I2" s="235"/>
      <x:c r="J2" s="234"/>
      <x:c r="K2" s="234"/>
      <x:c r="L2" s="234"/>
      <x:c r="M2" s="234"/>
      <x:c r="N2" s="234"/>
      <x:c r="O2" s="234"/>
      <x:c r="P2" s="234"/>
      <x:c r="Q2" s="234"/>
      <x:c r="R2" s="234"/>
      <x:c r="S2" s="234"/>
      <x:c r="T2" s="234"/>
      <x:c r="U2" s="234"/>
      <x:c r="V2" s="234"/>
      <x:c r="W2" s="234"/>
      <x:c r="X2" s="234"/>
      <x:c r="Y2" s="234"/>
      <x:c r="Z2" s="234"/>
    </x:row>
    <x:row r="3" ht="21" customHeight="1">
      <x:c r="A3" s="58" t="str">
        <x:v>ROE Decomposition</x:v>
      </x:c>
      <x:c r="B3" s="58" t="str">
        <x:v>ROE Decomposition</x:v>
      </x:c>
      <x:c r="C3" s="58" t="str">
        <x:v>ROE Decomposition</x:v>
      </x:c>
      <x:c r="D3" s="58" t="str">
        <x:v>ROE Decomposition</x:v>
      </x:c>
      <x:c r="E3" s="58" t="str">
        <x:v>ROE Decomposition</x:v>
      </x:c>
      <x:c r="F3" s="58" t="str">
        <x:v>ROE Decomposition</x:v>
      </x:c>
      <x:c r="G3" s="58" t="str">
        <x:v>ROE Decomposition</x:v>
      </x:c>
      <x:c r="H3" s="58" t="str">
        <x:v>ROE Decomposition</x:v>
      </x:c>
      <x:c r="I3" s="58" t="str">
        <x:v>ROE Decomposition</x:v>
      </x:c>
      <x:c r="J3" s="234"/>
      <x:c r="K3" s="234"/>
      <x:c r="L3" s="234"/>
      <x:c r="M3" s="234"/>
      <x:c r="N3" s="234"/>
      <x:c r="O3" s="234"/>
      <x:c r="P3" s="234"/>
      <x:c r="Q3" s="234"/>
      <x:c r="R3" s="234"/>
      <x:c r="S3" s="234"/>
      <x:c r="T3" s="234"/>
      <x:c r="U3" s="234"/>
      <x:c r="V3" s="234"/>
      <x:c r="W3" s="234"/>
      <x:c r="X3" s="234"/>
      <x:c r="Y3" s="234"/>
      <x:c r="Z3" s="234"/>
    </x:row>
    <x:row r="4">
      <x:c r="A4" s="28" t="str">
        <x:v>Metric</x:v>
      </x:c>
      <x:c r="B4" s="28" t="str">
        <x:v>Units</x:v>
      </x:c>
      <x:c r="C4" s="28" t="str">
        <x:v>2020</x:v>
      </x:c>
      <x:c r="D4" s="28" t="str">
        <x:v>2021</x:v>
      </x:c>
      <x:c r="E4" s="28" t="str">
        <x:v>2022</x:v>
      </x:c>
      <x:c r="F4" s="28" t="str">
        <x:v>2023</x:v>
      </x:c>
      <x:c r="G4" s="28" t="str">
        <x:v>2024</x:v>
      </x:c>
      <x:c r="H4" s="28" t="str">
        <x:v>Formula / Interpretation</x:v>
      </x:c>
      <x:c r="I4" s="28" t="str">
        <x:v>Source</x:v>
      </x:c>
      <x:c r="J4" s="234"/>
      <x:c r="K4" s="234"/>
      <x:c r="L4" s="234"/>
      <x:c r="M4" s="234"/>
      <x:c r="N4" s="234"/>
      <x:c r="O4" s="234"/>
      <x:c r="P4" s="234"/>
      <x:c r="Q4" s="234"/>
      <x:c r="R4" s="234"/>
      <x:c r="S4" s="234"/>
      <x:c r="T4" s="234"/>
      <x:c r="U4" s="234"/>
      <x:c r="V4" s="234"/>
      <x:c r="W4" s="234"/>
      <x:c r="X4" s="234"/>
      <x:c r="Y4" s="234"/>
      <x:c r="Z4" s="234"/>
    </x:row>
    <x:row r="5">
      <x:c r="A5" s="235" t="str">
        <x:v>Net income attributable</x:v>
      </x:c>
      <x:c r="B5" s="235" t="str">
        <x:v>€bn</x:v>
      </x:c>
      <x:c r="C5" s="282" t="n">
        <x:f>Historicals!C13</x:f>
        <x:v>5.581</x:v>
      </x:c>
      <x:c r="D5" s="282" t="n">
        <x:f>Historicals!D13</x:f>
        <x:v>6.049</x:v>
      </x:c>
      <x:c r="E5" s="282" t="n">
        <x:f>Historicals!E13</x:f>
        <x:v>7.642</x:v>
      </x:c>
      <x:c r="F5" s="282" t="n">
        <x:f>Historicals!F13</x:f>
        <x:v>6.487</x:v>
      </x:c>
      <x:c r="G5" s="282" t="n">
        <x:f>Historicals!G13</x:f>
        <x:v>5.744</x:v>
      </x:c>
      <x:c r="H5" s="235" t="str">
        <x:v>Reported earnings attributable to ordinary shareholders</x:v>
      </x:c>
      <x:c r="I5" s="235" t="str">
        <x:v>U21/U23/U24</x:v>
      </x:c>
      <x:c r="J5" s="234"/>
      <x:c r="K5" s="234"/>
      <x:c r="L5" s="234"/>
      <x:c r="M5" s="234"/>
      <x:c r="N5" s="234"/>
      <x:c r="O5" s="234"/>
      <x:c r="P5" s="234"/>
      <x:c r="Q5" s="234"/>
      <x:c r="R5" s="234"/>
      <x:c r="S5" s="234"/>
      <x:c r="T5" s="234"/>
      <x:c r="U5" s="234"/>
      <x:c r="V5" s="234"/>
      <x:c r="W5" s="234"/>
      <x:c r="X5" s="234"/>
      <x:c r="Y5" s="234"/>
      <x:c r="Z5" s="234"/>
    </x:row>
    <x:row r="6">
      <x:c r="A6" s="235" t="str">
        <x:v>Turnover</x:v>
      </x:c>
      <x:c r="B6" s="235" t="str">
        <x:v>€bn</x:v>
      </x:c>
      <x:c r="C6" s="282" t="n">
        <x:f>Historicals!C5</x:f>
        <x:v>50.724</x:v>
      </x:c>
      <x:c r="D6" s="282" t="n">
        <x:f>Historicals!D5</x:f>
        <x:v>52.444</x:v>
      </x:c>
      <x:c r="E6" s="282" t="n">
        <x:f>Historicals!E5</x:f>
        <x:v>60.073</x:v>
      </x:c>
      <x:c r="F6" s="282" t="n">
        <x:f>Historicals!F5</x:f>
        <x:v>59.604</x:v>
      </x:c>
      <x:c r="G6" s="282" t="n">
        <x:f>Historicals!G5</x:f>
        <x:v>60.761</x:v>
      </x:c>
      <x:c r="H6" s="235" t="str">
        <x:v>Revenue base</x:v>
      </x:c>
      <x:c r="I6" s="235" t="str">
        <x:v>U20/U21/U23/U24</x:v>
      </x:c>
      <x:c r="J6" s="234"/>
      <x:c r="K6" s="234"/>
      <x:c r="L6" s="234"/>
      <x:c r="M6" s="234"/>
      <x:c r="N6" s="234"/>
      <x:c r="O6" s="234"/>
      <x:c r="P6" s="234"/>
      <x:c r="Q6" s="234"/>
      <x:c r="R6" s="234"/>
      <x:c r="S6" s="234"/>
      <x:c r="T6" s="234"/>
      <x:c r="U6" s="234"/>
      <x:c r="V6" s="234"/>
      <x:c r="W6" s="234"/>
      <x:c r="X6" s="234"/>
      <x:c r="Y6" s="234"/>
      <x:c r="Z6" s="234"/>
    </x:row>
    <x:row r="7">
      <x:c r="A7" s="235" t="str">
        <x:v>Average assets</x:v>
      </x:c>
      <x:c r="B7" s="235" t="str">
        <x:v>€bn</x:v>
      </x:c>
      <x:c r="C7" s="282" t="n">
        <x:f>(Historicals!C23+Historicals!D23)/2</x:f>
        <x:v>66.2325</x:v>
      </x:c>
      <x:c r="D7" s="282" t="n">
        <x:f>(Historicals!D23+Historicals!E23)/2</x:f>
        <x:v>71.37700000000001</x:v>
      </x:c>
      <x:c r="E7" s="282" t="n">
        <x:f>(Historicals!E23+Historicals!F23)/2</x:f>
        <x:v>76.458</x:v>
      </x:c>
      <x:c r="F7" s="282" t="n">
        <x:f>(Historicals!F23+Historicals!G23)/2</x:f>
        <x:v>76.5435</x:v>
      </x:c>
      <x:c r="G7" s="282" t="n">
        <x:f>(Historicals!G23+Historicals!H23)/2</x:f>
        <x:v>77.50800000000001</x:v>
      </x:c>
      <x:c r="H7" s="235" t="str">
        <x:v>(Beginning assets + ending assets) / 2</x:v>
      </x:c>
      <x:c r="I7" s="235" t="str">
        <x:v>U20/U21/U23/U24</x:v>
      </x:c>
      <x:c r="J7" s="234"/>
      <x:c r="K7" s="234"/>
      <x:c r="L7" s="234"/>
      <x:c r="M7" s="234"/>
      <x:c r="N7" s="234"/>
      <x:c r="O7" s="234"/>
      <x:c r="P7" s="234"/>
      <x:c r="Q7" s="234"/>
      <x:c r="R7" s="234"/>
      <x:c r="S7" s="234"/>
      <x:c r="T7" s="234"/>
      <x:c r="U7" s="234"/>
      <x:c r="V7" s="234"/>
      <x:c r="W7" s="234"/>
      <x:c r="X7" s="234"/>
      <x:c r="Y7" s="234"/>
      <x:c r="Z7" s="234"/>
    </x:row>
    <x:row r="8">
      <x:c r="A8" s="235" t="str">
        <x:v>Average shareholders' equity</x:v>
      </x:c>
      <x:c r="B8" s="235" t="str">
        <x:v>€bn</x:v>
      </x:c>
      <x:c r="C8" s="282" t="n">
        <x:f>(Historicals!C24+Historicals!D24)/2</x:f>
        <x:v>14.229</x:v>
      </x:c>
      <x:c r="D8" s="282" t="n">
        <x:f>(Historicals!D24+Historicals!E24)/2</x:f>
        <x:v>16.1865</x:v>
      </x:c>
      <x:c r="E8" s="282" t="n">
        <x:f>(Historicals!E24+Historicals!F24)/2</x:f>
        <x:v>18.064</x:v>
      </x:c>
      <x:c r="F8" s="282" t="n">
        <x:f>(Historicals!F24+Historicals!G24)/2</x:f>
        <x:v>18.561500000000002</x:v>
      </x:c>
      <x:c r="G8" s="282" t="n">
        <x:f>(Historicals!G24+Historicals!H24)/2</x:f>
        <x:v>19.046</x:v>
      </x:c>
      <x:c r="H8" s="235" t="str">
        <x:v>(Beginning equity + ending equity) / 2</x:v>
      </x:c>
      <x:c r="I8" s="235" t="str">
        <x:v>U20/U21/U23/U24</x:v>
      </x:c>
      <x:c r="J8" s="234"/>
      <x:c r="K8" s="234"/>
      <x:c r="L8" s="234"/>
      <x:c r="M8" s="234"/>
      <x:c r="N8" s="234"/>
      <x:c r="O8" s="234"/>
      <x:c r="P8" s="234"/>
      <x:c r="Q8" s="234"/>
      <x:c r="R8" s="234"/>
      <x:c r="S8" s="234"/>
      <x:c r="T8" s="234"/>
      <x:c r="U8" s="234"/>
      <x:c r="V8" s="234"/>
      <x:c r="W8" s="234"/>
      <x:c r="X8" s="234"/>
      <x:c r="Y8" s="234"/>
      <x:c r="Z8" s="234"/>
    </x:row>
    <x:row r="9">
      <x:c r="A9" s="235" t="str">
        <x:v>Net profit margin</x:v>
      </x:c>
      <x:c r="B9" s="235" t="str">
        <x:v>%</x:v>
      </x:c>
      <x:c r="C9" s="283" t="n">
        <x:f>C5/C6</x:f>
        <x:v>0.11002681176563364</x:v>
      </x:c>
      <x:c r="D9" s="283" t="n">
        <x:f>D5/D6</x:f>
        <x:v>0.11534207917016245</x:v>
      </x:c>
      <x:c r="E9" s="283" t="n">
        <x:f>E5/E6</x:f>
        <x:v>0.12721189219782597</x:v>
      </x:c>
      <x:c r="F9" s="283" t="n">
        <x:f>F5/F6</x:f>
        <x:v>0.10883497751828737</x:v>
      </x:c>
      <x:c r="G9" s="283" t="n">
        <x:f>G5/G6</x:f>
        <x:v>0.0945343230032422</x:v>
      </x:c>
      <x:c r="H9" s="235" t="str">
        <x:v>Net income / turnover</x:v>
      </x:c>
      <x:c r="I9" s="235" t="str">
        <x:v>Calculated</x:v>
      </x:c>
      <x:c r="J9" s="234"/>
      <x:c r="K9" s="234"/>
      <x:c r="L9" s="234"/>
      <x:c r="M9" s="234"/>
      <x:c r="N9" s="234"/>
      <x:c r="O9" s="234"/>
      <x:c r="P9" s="234"/>
      <x:c r="Q9" s="234"/>
      <x:c r="R9" s="234"/>
      <x:c r="S9" s="234"/>
      <x:c r="T9" s="234"/>
      <x:c r="U9" s="234"/>
      <x:c r="V9" s="234"/>
      <x:c r="W9" s="234"/>
      <x:c r="X9" s="234"/>
      <x:c r="Y9" s="234"/>
      <x:c r="Z9" s="234"/>
    </x:row>
    <x:row r="10">
      <x:c r="A10" s="235" t="str">
        <x:v>Asset turnover</x:v>
      </x:c>
      <x:c r="B10" s="235" t="str">
        <x:v>x</x:v>
      </x:c>
      <x:c r="C10" s="284" t="n">
        <x:f>C6/C7</x:f>
        <x:v>0.7658475823802513</x:v>
      </x:c>
      <x:c r="D10" s="284" t="n">
        <x:f>D6/D7</x:f>
        <x:v>0.7347464869635877</x:v>
      </x:c>
      <x:c r="E10" s="284" t="n">
        <x:f>E6/E7</x:f>
        <x:v>0.7856993381987497</x:v>
      </x:c>
      <x:c r="F10" s="284" t="n">
        <x:f>F6/F7</x:f>
        <x:v>0.7786944678516138</x:v>
      </x:c>
      <x:c r="G10" s="284" t="n">
        <x:f>G6/G7</x:f>
        <x:v>0.7839319812148423</x:v>
      </x:c>
      <x:c r="H10" s="235" t="str">
        <x:v>Turnover / average assets</x:v>
      </x:c>
      <x:c r="I10" s="235" t="str">
        <x:v>Calculated</x:v>
      </x:c>
      <x:c r="J10" s="234"/>
      <x:c r="K10" s="234"/>
      <x:c r="L10" s="234"/>
      <x:c r="M10" s="234"/>
      <x:c r="N10" s="234"/>
      <x:c r="O10" s="234"/>
      <x:c r="P10" s="234"/>
      <x:c r="Q10" s="234"/>
      <x:c r="R10" s="234"/>
      <x:c r="S10" s="234"/>
      <x:c r="T10" s="234"/>
      <x:c r="U10" s="234"/>
      <x:c r="V10" s="234"/>
      <x:c r="W10" s="234"/>
      <x:c r="X10" s="234"/>
      <x:c r="Y10" s="234"/>
      <x:c r="Z10" s="234"/>
    </x:row>
    <x:row r="11">
      <x:c r="A11" s="235" t="str">
        <x:v>Equity multiplier</x:v>
      </x:c>
      <x:c r="B11" s="235" t="str">
        <x:v>x</x:v>
      </x:c>
      <x:c r="C11" s="284" t="n">
        <x:f>C7/C8</x:f>
        <x:v>4.654754374868228</x:v>
      </x:c>
      <x:c r="D11" s="284" t="n">
        <x:f>D7/D8</x:f>
        <x:v>4.409662372965126</x:v>
      </x:c>
      <x:c r="E11" s="284" t="n">
        <x:f>E7/E8</x:f>
        <x:v>4.232617360496014</x:v>
      </x:c>
      <x:c r="F11" s="284" t="n">
        <x:f>F7/F8</x:f>
        <x:v>4.123777711930608</x:v>
      </x:c>
      <x:c r="G11" s="284" t="n">
        <x:f>G7/G8</x:f>
        <x:v>4.069515908852253</x:v>
      </x:c>
      <x:c r="H11" s="235" t="str">
        <x:v>Average assets / average equity</x:v>
      </x:c>
      <x:c r="I11" s="235" t="str">
        <x:v>Calculated</x:v>
      </x:c>
      <x:c r="J11" s="234"/>
      <x:c r="K11" s="234"/>
      <x:c r="L11" s="234"/>
      <x:c r="M11" s="234"/>
      <x:c r="N11" s="234"/>
      <x:c r="O11" s="234"/>
      <x:c r="P11" s="234"/>
      <x:c r="Q11" s="234"/>
      <x:c r="R11" s="234"/>
      <x:c r="S11" s="234"/>
      <x:c r="T11" s="234"/>
      <x:c r="U11" s="234"/>
      <x:c r="V11" s="234"/>
      <x:c r="W11" s="234"/>
      <x:c r="X11" s="234"/>
      <x:c r="Y11" s="234"/>
      <x:c r="Z11" s="234"/>
    </x:row>
    <x:row r="12">
      <x:c r="A12" s="285" t="str">
        <x:v>ROE</x:v>
      </x:c>
      <x:c r="B12" s="285" t="str">
        <x:v>%</x:v>
      </x:c>
      <x:c r="C12" s="286" t="n">
        <x:f>C9*C10*C11</x:f>
        <x:v>0.3922271417527586</x:v>
      </x:c>
      <x:c r="D12" s="286" t="n">
        <x:f>D9*D10*D11</x:f>
        <x:v>0.37370648379822696</x:v>
      </x:c>
      <x:c r="E12" s="286" t="n">
        <x:f>E9*E10*E11</x:f>
        <x:v>0.42305137289636846</x:v>
      </x:c>
      <x:c r="F12" s="286" t="n">
        <x:f>F9*F10*F11</x:f>
        <x:v>0.3494868410419416</x:v>
      </x:c>
      <x:c r="G12" s="286" t="n">
        <x:f>G9*G10*G11</x:f>
        <x:v>0.3015856347789562</x:v>
      </x:c>
      <x:c r="H12" s="235" t="str">
        <x:v>Net margin × asset turnover × equity multiplier</x:v>
      </x:c>
      <x:c r="I12" s="235" t="str">
        <x:v>Calculated</x:v>
      </x:c>
      <x:c r="J12" s="234"/>
      <x:c r="K12" s="234"/>
      <x:c r="L12" s="234"/>
      <x:c r="M12" s="234"/>
      <x:c r="N12" s="234"/>
      <x:c r="O12" s="234"/>
      <x:c r="P12" s="234"/>
      <x:c r="Q12" s="234"/>
      <x:c r="R12" s="234"/>
      <x:c r="S12" s="234"/>
      <x:c r="T12" s="234"/>
      <x:c r="U12" s="234"/>
      <x:c r="V12" s="234"/>
      <x:c r="W12" s="234"/>
      <x:c r="X12" s="234"/>
      <x:c r="Y12" s="234"/>
      <x:c r="Z12" s="234"/>
    </x:row>
    <x:row r="13">
      <x:c r="A13" s="235"/>
      <x:c r="B13" s="235"/>
      <x:c r="C13" s="235"/>
      <x:c r="D13" s="235"/>
      <x:c r="E13" s="235"/>
      <x:c r="F13" s="235"/>
      <x:c r="G13" s="235"/>
      <x:c r="H13" s="235"/>
      <x:c r="I13" s="235"/>
      <x:c r="J13" s="234"/>
      <x:c r="K13" s="234"/>
      <x:c r="L13" s="234"/>
      <x:c r="M13" s="234"/>
      <x:c r="N13" s="234"/>
      <x:c r="O13" s="234"/>
      <x:c r="P13" s="234"/>
      <x:c r="Q13" s="234"/>
      <x:c r="R13" s="234"/>
      <x:c r="S13" s="234"/>
      <x:c r="T13" s="234"/>
      <x:c r="U13" s="234"/>
      <x:c r="V13" s="234"/>
      <x:c r="W13" s="234"/>
      <x:c r="X13" s="234"/>
      <x:c r="Y13" s="234"/>
      <x:c r="Z13" s="234"/>
    </x:row>
    <x:row r="14" ht="21" customHeight="1">
      <x:c r="A14" s="58" t="str">
        <x:v>Interpretation</x:v>
      </x:c>
      <x:c r="B14" s="58" t="str">
        <x:v>Interpretation</x:v>
      </x:c>
      <x:c r="C14" s="58" t="str">
        <x:v>Interpretation</x:v>
      </x:c>
      <x:c r="D14" s="58" t="str">
        <x:v>Interpretation</x:v>
      </x:c>
      <x:c r="E14" s="58" t="str">
        <x:v>Interpretation</x:v>
      </x:c>
      <x:c r="F14" s="58" t="str">
        <x:v>Interpretation</x:v>
      </x:c>
      <x:c r="G14" s="58" t="str">
        <x:v>Interpretation</x:v>
      </x:c>
      <x:c r="H14" s="58" t="str">
        <x:v>Interpretation</x:v>
      </x:c>
      <x:c r="I14" s="58" t="str">
        <x:v>Interpretation</x:v>
      </x:c>
      <x:c r="J14" s="234"/>
      <x:c r="K14" s="234"/>
      <x:c r="L14" s="234"/>
      <x:c r="M14" s="234"/>
      <x:c r="N14" s="234"/>
      <x:c r="O14" s="234"/>
      <x:c r="P14" s="234"/>
      <x:c r="Q14" s="234"/>
      <x:c r="R14" s="234"/>
      <x:c r="S14" s="234"/>
      <x:c r="T14" s="234"/>
      <x:c r="U14" s="234"/>
      <x:c r="V14" s="234"/>
      <x:c r="W14" s="234"/>
      <x:c r="X14" s="234"/>
      <x:c r="Y14" s="234"/>
      <x:c r="Z14" s="234"/>
    </x:row>
    <x:row r="15" ht="42" customHeight="1">
      <x:c r="A15" s="287" t="str">
        <x:v>2020</x:v>
      </x:c>
      <x:c r="B15" s="252" t="str">
        <x:v>ROE remained high despite COVID disruption because profitability and asset efficiency held up; unusually strong free cash flow supported resilience.</x:v>
      </x:c>
      <x:c r="C15" s="235"/>
      <x:c r="D15" s="235"/>
      <x:c r="E15" s="235"/>
      <x:c r="F15" s="235"/>
      <x:c r="G15" s="235"/>
      <x:c r="H15" s="235"/>
      <x:c r="I15" s="235"/>
      <x:c r="J15" s="234"/>
      <x:c r="K15" s="234"/>
      <x:c r="L15" s="234"/>
      <x:c r="M15" s="234"/>
      <x:c r="N15" s="234"/>
      <x:c r="O15" s="234"/>
      <x:c r="P15" s="234"/>
      <x:c r="Q15" s="234"/>
      <x:c r="R15" s="234"/>
      <x:c r="S15" s="234"/>
      <x:c r="T15" s="234"/>
      <x:c r="U15" s="234"/>
      <x:c r="V15" s="234"/>
      <x:c r="W15" s="234"/>
      <x:c r="X15" s="234"/>
      <x:c r="Y15" s="234"/>
      <x:c r="Z15" s="234"/>
    </x:row>
    <x:row r="16" ht="42" customHeight="1">
      <x:c r="A16" s="287" t="str">
        <x:v>2021</x:v>
      </x:c>
      <x:c r="B16" s="252" t="str">
        <x:v>ROE eased as the equity base expanded and the equity multiplier fell, while margins remained broadly stable.</x:v>
      </x:c>
      <x:c r="C16" s="235"/>
      <x:c r="D16" s="235"/>
      <x:c r="E16" s="235"/>
      <x:c r="F16" s="235"/>
      <x:c r="G16" s="235"/>
      <x:c r="H16" s="235"/>
      <x:c r="I16" s="235"/>
      <x:c r="J16" s="234"/>
      <x:c r="K16" s="234"/>
      <x:c r="L16" s="234"/>
      <x:c r="M16" s="234"/>
      <x:c r="N16" s="234"/>
      <x:c r="O16" s="234"/>
      <x:c r="P16" s="234"/>
      <x:c r="Q16" s="234"/>
      <x:c r="R16" s="234"/>
      <x:c r="S16" s="234"/>
      <x:c r="T16" s="234"/>
      <x:c r="U16" s="234"/>
      <x:c r="V16" s="234"/>
      <x:c r="W16" s="234"/>
      <x:c r="X16" s="234"/>
      <x:c r="Y16" s="234"/>
      <x:c r="Z16" s="234"/>
    </x:row>
    <x:row r="17" ht="42" customHeight="1">
      <x:c r="A17" s="287" t="str">
        <x:v>2022</x:v>
      </x:c>
      <x:c r="B17" s="252" t="str">
        <x:v>ROE peaked, but the reported net margin was boosted by the €2.335bn gain on the global tea disposal. Underlying EPS actually declined slightly.</x:v>
      </x:c>
      <x:c r="C17" s="235"/>
      <x:c r="D17" s="235"/>
      <x:c r="E17" s="235"/>
      <x:c r="F17" s="235"/>
      <x:c r="G17" s="235"/>
      <x:c r="H17" s="235"/>
      <x:c r="I17" s="235"/>
      <x:c r="J17" s="234"/>
      <x:c r="K17" s="234"/>
      <x:c r="L17" s="234"/>
      <x:c r="M17" s="234"/>
      <x:c r="N17" s="234"/>
      <x:c r="O17" s="234"/>
      <x:c r="P17" s="234"/>
      <x:c r="Q17" s="234"/>
      <x:c r="R17" s="234"/>
      <x:c r="S17" s="234"/>
      <x:c r="T17" s="234"/>
      <x:c r="U17" s="234"/>
      <x:c r="V17" s="234"/>
      <x:c r="W17" s="234"/>
      <x:c r="X17" s="234"/>
      <x:c r="Y17" s="234"/>
      <x:c r="Z17" s="234"/>
    </x:row>
    <x:row r="18" ht="42" customHeight="1">
      <x:c r="A18" s="287" t="str">
        <x:v>2023</x:v>
      </x:c>
      <x:c r="B18" s="252" t="str">
        <x:v>ROE normalised as the disposal gain disappeared. Gross margin recovery and better cash conversion improved underlying quality of earnings.</x:v>
      </x:c>
      <x:c r="C18" s="235"/>
      <x:c r="D18" s="235"/>
      <x:c r="E18" s="235"/>
      <x:c r="F18" s="235"/>
      <x:c r="G18" s="235"/>
      <x:c r="H18" s="235"/>
      <x:c r="I18" s="235"/>
      <x:c r="J18" s="234"/>
      <x:c r="K18" s="234"/>
      <x:c r="L18" s="234"/>
      <x:c r="M18" s="234"/>
      <x:c r="N18" s="234"/>
      <x:c r="O18" s="234"/>
      <x:c r="P18" s="234"/>
      <x:c r="Q18" s="234"/>
      <x:c r="R18" s="234"/>
      <x:c r="S18" s="234"/>
      <x:c r="T18" s="234"/>
      <x:c r="U18" s="234"/>
      <x:c r="V18" s="234"/>
      <x:c r="W18" s="234"/>
      <x:c r="X18" s="234"/>
      <x:c r="Y18" s="234"/>
      <x:c r="Z18" s="234"/>
    </x:row>
    <x:row r="19" ht="42" customHeight="1">
      <x:c r="A19" s="287" t="str">
        <x:v>2024</x:v>
      </x:c>
      <x:c r="B19" s="252" t="str">
        <x:v>Reported ROE fell further because restructuring/disposal charges depressed reported profit, while underlying operating margin and underlying EPS improved sharply.</x:v>
      </x:c>
      <x:c r="C19" s="235"/>
      <x:c r="D19" s="235"/>
      <x:c r="E19" s="235"/>
      <x:c r="F19" s="235"/>
      <x:c r="G19" s="235"/>
      <x:c r="H19" s="235"/>
      <x:c r="I19" s="235"/>
      <x:c r="J19" s="234"/>
      <x:c r="K19" s="234"/>
      <x:c r="L19" s="234"/>
      <x:c r="M19" s="234"/>
      <x:c r="N19" s="234"/>
      <x:c r="O19" s="234"/>
      <x:c r="P19" s="234"/>
      <x:c r="Q19" s="234"/>
      <x:c r="R19" s="234"/>
      <x:c r="S19" s="234"/>
      <x:c r="T19" s="234"/>
      <x:c r="U19" s="234"/>
      <x:c r="V19" s="234"/>
      <x:c r="W19" s="234"/>
      <x:c r="X19" s="234"/>
      <x:c r="Y19" s="234"/>
      <x:c r="Z19" s="234"/>
    </x:row>
    <x:row r="20">
      <x:c r="A20" s="235"/>
      <x:c r="B20" s="235"/>
      <x:c r="C20" s="235"/>
      <x:c r="D20" s="235"/>
      <x:c r="E20" s="235"/>
      <x:c r="F20" s="235"/>
      <x:c r="G20" s="235"/>
      <x:c r="H20" s="235"/>
      <x:c r="I20" s="235"/>
      <x:c r="J20" s="234"/>
      <x:c r="K20" s="234"/>
      <x:c r="L20" s="234"/>
      <x:c r="M20" s="234"/>
      <x:c r="N20" s="234"/>
      <x:c r="O20" s="234"/>
      <x:c r="P20" s="234"/>
      <x:c r="Q20" s="234"/>
      <x:c r="R20" s="234"/>
      <x:c r="S20" s="234"/>
      <x:c r="T20" s="234"/>
      <x:c r="U20" s="234"/>
      <x:c r="V20" s="234"/>
      <x:c r="W20" s="234"/>
      <x:c r="X20" s="234"/>
      <x:c r="Y20" s="234"/>
      <x:c r="Z20" s="234"/>
    </x:row>
    <x:row r="21">
      <x:c r="A21" s="235"/>
      <x:c r="B21" s="235"/>
      <x:c r="C21" s="235"/>
      <x:c r="D21" s="235"/>
      <x:c r="E21" s="235"/>
      <x:c r="F21" s="235"/>
      <x:c r="G21" s="235"/>
      <x:c r="H21" s="235"/>
      <x:c r="I21" s="235"/>
      <x:c r="J21" s="234"/>
      <x:c r="K21" s="234"/>
      <x:c r="L21" s="234"/>
      <x:c r="M21" s="234"/>
      <x:c r="N21" s="234"/>
      <x:c r="O21" s="234"/>
      <x:c r="P21" s="234"/>
      <x:c r="Q21" s="234"/>
      <x:c r="R21" s="234"/>
      <x:c r="S21" s="234"/>
      <x:c r="T21" s="234"/>
      <x:c r="U21" s="234"/>
      <x:c r="V21" s="234"/>
      <x:c r="W21" s="234"/>
      <x:c r="X21" s="234"/>
      <x:c r="Y21" s="234"/>
      <x:c r="Z21" s="234"/>
    </x:row>
    <x:row r="22">
      <x:c r="A22" s="235"/>
      <x:c r="B22" s="235"/>
      <x:c r="C22" s="235"/>
      <x:c r="D22" s="235"/>
      <x:c r="E22" s="235"/>
      <x:c r="F22" s="235"/>
      <x:c r="G22" s="235"/>
      <x:c r="H22" s="235"/>
      <x:c r="I22" s="235"/>
      <x:c r="J22" s="234"/>
      <x:c r="K22" s="234"/>
      <x:c r="L22" s="234"/>
      <x:c r="M22" s="234"/>
      <x:c r="N22" s="234"/>
      <x:c r="O22" s="234"/>
      <x:c r="P22" s="234"/>
      <x:c r="Q22" s="234"/>
      <x:c r="R22" s="234"/>
      <x:c r="S22" s="234"/>
      <x:c r="T22" s="234"/>
      <x:c r="U22" s="234"/>
      <x:c r="V22" s="234"/>
      <x:c r="W22" s="234"/>
      <x:c r="X22" s="234"/>
      <x:c r="Y22" s="234"/>
      <x:c r="Z22" s="234"/>
    </x:row>
    <x:row r="23">
      <x:c r="A23" s="235"/>
      <x:c r="B23" s="235"/>
      <x:c r="C23" s="235"/>
      <x:c r="D23" s="235"/>
      <x:c r="E23" s="235"/>
      <x:c r="F23" s="235"/>
      <x:c r="G23" s="235"/>
      <x:c r="H23" s="235"/>
      <x:c r="I23" s="235"/>
      <x:c r="J23" s="234"/>
      <x:c r="K23" s="234"/>
      <x:c r="L23" s="234"/>
      <x:c r="M23" s="234"/>
      <x:c r="N23" s="234"/>
      <x:c r="O23" s="234"/>
      <x:c r="P23" s="234"/>
      <x:c r="Q23" s="234"/>
      <x:c r="R23" s="234"/>
      <x:c r="S23" s="234"/>
      <x:c r="T23" s="234"/>
      <x:c r="U23" s="234"/>
      <x:c r="V23" s="234"/>
      <x:c r="W23" s="234"/>
      <x:c r="X23" s="234"/>
      <x:c r="Y23" s="234"/>
      <x:c r="Z23" s="234"/>
    </x:row>
    <x:row r="24">
      <x:c r="A24" s="235"/>
      <x:c r="B24" s="235"/>
      <x:c r="C24" s="235"/>
      <x:c r="D24" s="235"/>
      <x:c r="E24" s="235"/>
      <x:c r="F24" s="235"/>
      <x:c r="G24" s="235"/>
      <x:c r="H24" s="235"/>
      <x:c r="I24" s="235"/>
      <x:c r="J24" s="234"/>
      <x:c r="K24" s="234"/>
      <x:c r="L24" s="234"/>
      <x:c r="M24" s="234"/>
      <x:c r="N24" s="234"/>
      <x:c r="O24" s="234"/>
      <x:c r="P24" s="234"/>
      <x:c r="Q24" s="234"/>
      <x:c r="R24" s="234"/>
      <x:c r="S24" s="234"/>
      <x:c r="T24" s="234"/>
      <x:c r="U24" s="234"/>
      <x:c r="V24" s="234"/>
      <x:c r="W24" s="234"/>
      <x:c r="X24" s="234"/>
      <x:c r="Y24" s="234"/>
      <x:c r="Z24" s="234"/>
    </x:row>
    <x:row r="25">
      <x:c r="A25" s="235"/>
      <x:c r="B25" s="235"/>
      <x:c r="C25" s="235"/>
      <x:c r="D25" s="235"/>
      <x:c r="E25" s="235"/>
      <x:c r="F25" s="235"/>
      <x:c r="G25" s="235"/>
      <x:c r="H25" s="235"/>
      <x:c r="I25" s="235"/>
      <x:c r="J25" s="234"/>
      <x:c r="K25" s="234"/>
      <x:c r="L25" s="234"/>
      <x:c r="M25" s="234"/>
      <x:c r="N25" s="234"/>
      <x:c r="O25" s="234"/>
      <x:c r="P25" s="234"/>
      <x:c r="Q25" s="234"/>
      <x:c r="R25" s="234"/>
      <x:c r="S25" s="234"/>
      <x:c r="T25" s="234"/>
      <x:c r="U25" s="234"/>
      <x:c r="V25" s="234"/>
      <x:c r="W25" s="234"/>
      <x:c r="X25" s="234"/>
      <x:c r="Y25" s="234"/>
      <x:c r="Z25" s="234"/>
    </x:row>
    <x:row r="26">
      <x:c r="A26" s="234"/>
      <x:c r="B26" s="234"/>
      <x:c r="C26" s="234"/>
      <x:c r="D26" s="234"/>
      <x:c r="E26" s="234"/>
      <x:c r="F26" s="234"/>
      <x:c r="G26" s="234"/>
      <x:c r="H26" s="234"/>
      <x:c r="I26" s="234"/>
      <x:c r="J26" s="234"/>
      <x:c r="K26" s="234"/>
      <x:c r="L26" s="234"/>
      <x:c r="M26" s="234"/>
      <x:c r="N26" s="234"/>
      <x:c r="O26" s="234"/>
      <x:c r="P26" s="234"/>
      <x:c r="Q26" s="234"/>
      <x:c r="R26" s="234"/>
      <x:c r="S26" s="234"/>
      <x:c r="T26" s="234"/>
      <x:c r="U26" s="234"/>
      <x:c r="V26" s="234"/>
      <x:c r="W26" s="234"/>
      <x:c r="X26" s="234"/>
      <x:c r="Y26" s="234"/>
      <x:c r="Z26" s="234"/>
    </x:row>
    <x:row r="27">
      <x:c r="A27" s="234"/>
      <x:c r="B27" s="234"/>
      <x:c r="C27" s="234"/>
      <x:c r="D27" s="234"/>
      <x:c r="E27" s="234"/>
      <x:c r="F27" s="234"/>
      <x:c r="G27" s="234"/>
      <x:c r="H27" s="234"/>
      <x:c r="I27" s="234"/>
      <x:c r="J27" s="234"/>
      <x:c r="K27" s="234"/>
      <x:c r="L27" s="234"/>
      <x:c r="M27" s="234"/>
      <x:c r="N27" s="234"/>
      <x:c r="O27" s="234"/>
      <x:c r="P27" s="234"/>
      <x:c r="Q27" s="234"/>
      <x:c r="R27" s="234"/>
      <x:c r="S27" s="234"/>
      <x:c r="T27" s="234"/>
      <x:c r="U27" s="234"/>
      <x:c r="V27" s="234"/>
      <x:c r="W27" s="234"/>
      <x:c r="X27" s="234"/>
      <x:c r="Y27" s="234"/>
      <x:c r="Z27" s="234"/>
    </x:row>
    <x:row r="28">
      <x:c r="A28" s="234"/>
      <x:c r="B28" s="234"/>
      <x:c r="C28" s="234"/>
      <x:c r="D28" s="234"/>
      <x:c r="E28" s="234"/>
      <x:c r="F28" s="234"/>
      <x:c r="G28" s="234"/>
      <x:c r="H28" s="234"/>
      <x:c r="I28" s="234"/>
      <x:c r="J28" s="234"/>
      <x:c r="K28" s="234"/>
      <x:c r="L28" s="234"/>
      <x:c r="M28" s="234"/>
      <x:c r="N28" s="234"/>
      <x:c r="O28" s="234"/>
      <x:c r="P28" s="234"/>
      <x:c r="Q28" s="234"/>
      <x:c r="R28" s="234"/>
      <x:c r="S28" s="234"/>
      <x:c r="T28" s="234"/>
      <x:c r="U28" s="234"/>
      <x:c r="V28" s="234"/>
      <x:c r="W28" s="234"/>
      <x:c r="X28" s="234"/>
      <x:c r="Y28" s="234"/>
      <x:c r="Z28" s="234"/>
    </x:row>
    <x:row r="29">
      <x:c r="A29" s="234"/>
      <x:c r="B29" s="234"/>
      <x:c r="C29" s="234"/>
      <x:c r="D29" s="234"/>
      <x:c r="E29" s="234"/>
      <x:c r="F29" s="234"/>
      <x:c r="G29" s="234"/>
      <x:c r="H29" s="234"/>
      <x:c r="I29" s="234"/>
      <x:c r="J29" s="234"/>
      <x:c r="K29" s="234"/>
      <x:c r="L29" s="234"/>
      <x:c r="M29" s="234"/>
      <x:c r="N29" s="234"/>
      <x:c r="O29" s="234"/>
      <x:c r="P29" s="234"/>
      <x:c r="Q29" s="234"/>
      <x:c r="R29" s="234"/>
      <x:c r="S29" s="234"/>
      <x:c r="T29" s="234"/>
      <x:c r="U29" s="234"/>
      <x:c r="V29" s="234"/>
      <x:c r="W29" s="234"/>
      <x:c r="X29" s="234"/>
      <x:c r="Y29" s="234"/>
      <x:c r="Z29" s="234"/>
    </x:row>
    <x:row r="30">
      <x:c r="A30" s="234"/>
      <x:c r="B30" s="234"/>
      <x:c r="C30" s="234"/>
      <x:c r="D30" s="234"/>
      <x:c r="E30" s="234"/>
      <x:c r="F30" s="234"/>
      <x:c r="G30" s="234"/>
      <x:c r="H30" s="234"/>
      <x:c r="I30" s="234"/>
      <x:c r="J30" s="234"/>
      <x:c r="K30" s="234"/>
      <x:c r="L30" s="234"/>
      <x:c r="M30" s="234"/>
      <x:c r="N30" s="234"/>
      <x:c r="O30" s="234"/>
      <x:c r="P30" s="234"/>
      <x:c r="Q30" s="234"/>
      <x:c r="R30" s="234"/>
      <x:c r="S30" s="234"/>
      <x:c r="T30" s="234"/>
      <x:c r="U30" s="234"/>
      <x:c r="V30" s="234"/>
      <x:c r="W30" s="234"/>
      <x:c r="X30" s="234"/>
      <x:c r="Y30" s="234"/>
      <x:c r="Z30" s="234"/>
    </x:row>
    <x:row r="31">
      <x:c r="A31" s="234"/>
      <x:c r="B31" s="234"/>
      <x:c r="C31" s="234"/>
      <x:c r="D31" s="234"/>
      <x:c r="E31" s="234"/>
      <x:c r="F31" s="234"/>
      <x:c r="G31" s="234"/>
      <x:c r="H31" s="234"/>
      <x:c r="I31" s="234"/>
      <x:c r="J31" s="234"/>
      <x:c r="K31" s="234"/>
      <x:c r="L31" s="234"/>
      <x:c r="M31" s="234"/>
      <x:c r="N31" s="234"/>
      <x:c r="O31" s="234"/>
      <x:c r="P31" s="234"/>
      <x:c r="Q31" s="234"/>
      <x:c r="R31" s="234"/>
      <x:c r="S31" s="234"/>
      <x:c r="T31" s="234"/>
      <x:c r="U31" s="234"/>
      <x:c r="V31" s="234"/>
      <x:c r="W31" s="234"/>
      <x:c r="X31" s="234"/>
      <x:c r="Y31" s="234"/>
      <x:c r="Z31" s="234"/>
    </x:row>
    <x:row r="32">
      <x:c r="A32" s="234"/>
      <x:c r="B32" s="234"/>
      <x:c r="C32" s="234"/>
      <x:c r="D32" s="234"/>
      <x:c r="E32" s="234"/>
      <x:c r="F32" s="234"/>
      <x:c r="G32" s="234"/>
      <x:c r="H32" s="234"/>
      <x:c r="I32" s="234"/>
      <x:c r="J32" s="234"/>
      <x:c r="K32" s="234"/>
      <x:c r="L32" s="234"/>
      <x:c r="M32" s="234"/>
      <x:c r="N32" s="234"/>
      <x:c r="O32" s="234"/>
      <x:c r="P32" s="234"/>
      <x:c r="Q32" s="234"/>
      <x:c r="R32" s="234"/>
      <x:c r="S32" s="234"/>
      <x:c r="T32" s="234"/>
      <x:c r="U32" s="234"/>
      <x:c r="V32" s="234"/>
      <x:c r="W32" s="234"/>
      <x:c r="X32" s="234"/>
      <x:c r="Y32" s="234"/>
      <x:c r="Z32" s="234"/>
    </x:row>
    <x:row r="33">
      <x:c r="A33" s="234"/>
      <x:c r="B33" s="234"/>
      <x:c r="C33" s="234"/>
      <x:c r="D33" s="234"/>
      <x:c r="E33" s="234"/>
      <x:c r="F33" s="234"/>
      <x:c r="G33" s="234"/>
      <x:c r="H33" s="234"/>
      <x:c r="I33" s="234"/>
      <x:c r="J33" s="234"/>
      <x:c r="K33" s="234"/>
      <x:c r="L33" s="234"/>
      <x:c r="M33" s="234"/>
      <x:c r="N33" s="234"/>
      <x:c r="O33" s="234"/>
      <x:c r="P33" s="234"/>
      <x:c r="Q33" s="234"/>
      <x:c r="R33" s="234"/>
      <x:c r="S33" s="234"/>
      <x:c r="T33" s="234"/>
      <x:c r="U33" s="234"/>
      <x:c r="V33" s="234"/>
      <x:c r="W33" s="234"/>
      <x:c r="X33" s="234"/>
      <x:c r="Y33" s="234"/>
      <x:c r="Z33" s="234"/>
    </x:row>
    <x:row r="34">
      <x:c r="A34" s="234"/>
      <x:c r="B34" s="234"/>
      <x:c r="C34" s="234"/>
      <x:c r="D34" s="234"/>
      <x:c r="E34" s="234"/>
      <x:c r="F34" s="234"/>
      <x:c r="G34" s="234"/>
      <x:c r="H34" s="234"/>
      <x:c r="I34" s="234"/>
      <x:c r="J34" s="234"/>
      <x:c r="K34" s="234"/>
      <x:c r="L34" s="234"/>
      <x:c r="M34" s="234"/>
      <x:c r="N34" s="234"/>
      <x:c r="O34" s="234"/>
      <x:c r="P34" s="234"/>
      <x:c r="Q34" s="234"/>
      <x:c r="R34" s="234"/>
      <x:c r="S34" s="234"/>
      <x:c r="T34" s="234"/>
      <x:c r="U34" s="234"/>
      <x:c r="V34" s="234"/>
      <x:c r="W34" s="234"/>
      <x:c r="X34" s="234"/>
      <x:c r="Y34" s="234"/>
      <x:c r="Z34" s="234"/>
    </x:row>
    <x:row r="35">
      <x:c r="A35" s="234"/>
      <x:c r="B35" s="234"/>
      <x:c r="C35" s="234"/>
      <x:c r="D35" s="234"/>
      <x:c r="E35" s="234"/>
      <x:c r="F35" s="234"/>
      <x:c r="G35" s="234"/>
      <x:c r="H35" s="234"/>
      <x:c r="I35" s="234"/>
      <x:c r="J35" s="234"/>
      <x:c r="K35" s="234"/>
      <x:c r="L35" s="234"/>
      <x:c r="M35" s="234"/>
      <x:c r="N35" s="234"/>
      <x:c r="O35" s="234"/>
      <x:c r="P35" s="234"/>
      <x:c r="Q35" s="234"/>
      <x:c r="R35" s="234"/>
      <x:c r="S35" s="234"/>
      <x:c r="T35" s="234"/>
      <x:c r="U35" s="234"/>
      <x:c r="V35" s="234"/>
      <x:c r="W35" s="234"/>
      <x:c r="X35" s="234"/>
      <x:c r="Y35" s="234"/>
      <x:c r="Z35" s="234"/>
    </x:row>
    <x:row r="36">
      <x:c r="A36" s="234"/>
      <x:c r="B36" s="234"/>
      <x:c r="C36" s="234"/>
      <x:c r="D36" s="234"/>
      <x:c r="E36" s="234"/>
      <x:c r="F36" s="234"/>
      <x:c r="G36" s="234"/>
      <x:c r="H36" s="234"/>
      <x:c r="I36" s="234"/>
      <x:c r="J36" s="234"/>
      <x:c r="K36" s="234"/>
      <x:c r="L36" s="234"/>
      <x:c r="M36" s="234"/>
      <x:c r="N36" s="234"/>
      <x:c r="O36" s="234"/>
      <x:c r="P36" s="234"/>
      <x:c r="Q36" s="234"/>
      <x:c r="R36" s="234"/>
      <x:c r="S36" s="234"/>
      <x:c r="T36" s="234"/>
      <x:c r="U36" s="234"/>
      <x:c r="V36" s="234"/>
      <x:c r="W36" s="234"/>
      <x:c r="X36" s="234"/>
      <x:c r="Y36" s="234"/>
      <x:c r="Z36" s="234"/>
    </x:row>
    <x:row r="37">
      <x:c r="A37" s="234"/>
      <x:c r="B37" s="234"/>
      <x:c r="C37" s="234"/>
      <x:c r="D37" s="234"/>
      <x:c r="E37" s="234"/>
      <x:c r="F37" s="234"/>
      <x:c r="G37" s="234"/>
      <x:c r="H37" s="234"/>
      <x:c r="I37" s="234"/>
      <x:c r="J37" s="234"/>
      <x:c r="K37" s="234"/>
      <x:c r="L37" s="234"/>
      <x:c r="M37" s="234"/>
      <x:c r="N37" s="234"/>
      <x:c r="O37" s="234"/>
      <x:c r="P37" s="234"/>
      <x:c r="Q37" s="234"/>
      <x:c r="R37" s="234"/>
      <x:c r="S37" s="234"/>
      <x:c r="T37" s="234"/>
      <x:c r="U37" s="234"/>
      <x:c r="V37" s="234"/>
      <x:c r="W37" s="234"/>
      <x:c r="X37" s="234"/>
      <x:c r="Y37" s="234"/>
      <x:c r="Z37" s="234"/>
    </x:row>
    <x:row r="38">
      <x:c r="A38" s="234"/>
      <x:c r="B38" s="234"/>
      <x:c r="C38" s="234"/>
      <x:c r="D38" s="234"/>
      <x:c r="E38" s="234"/>
      <x:c r="F38" s="234"/>
      <x:c r="G38" s="234"/>
      <x:c r="H38" s="234"/>
      <x:c r="I38" s="234"/>
      <x:c r="J38" s="234"/>
      <x:c r="K38" s="234"/>
      <x:c r="L38" s="234"/>
      <x:c r="M38" s="234"/>
      <x:c r="N38" s="234"/>
      <x:c r="O38" s="234"/>
      <x:c r="P38" s="234"/>
      <x:c r="Q38" s="234"/>
      <x:c r="R38" s="234"/>
      <x:c r="S38" s="234"/>
      <x:c r="T38" s="234"/>
      <x:c r="U38" s="234"/>
      <x:c r="V38" s="234"/>
      <x:c r="W38" s="234"/>
      <x:c r="X38" s="234"/>
      <x:c r="Y38" s="234"/>
      <x:c r="Z38" s="234"/>
    </x:row>
    <x:row r="39">
      <x:c r="A39" s="234"/>
      <x:c r="B39" s="234"/>
      <x:c r="C39" s="234"/>
      <x:c r="D39" s="234"/>
      <x:c r="E39" s="234"/>
      <x:c r="F39" s="234"/>
      <x:c r="G39" s="234"/>
      <x:c r="H39" s="234"/>
      <x:c r="I39" s="234"/>
      <x:c r="J39" s="234"/>
      <x:c r="K39" s="234"/>
      <x:c r="L39" s="234"/>
      <x:c r="M39" s="234"/>
      <x:c r="N39" s="234"/>
      <x:c r="O39" s="234"/>
      <x:c r="P39" s="234"/>
      <x:c r="Q39" s="234"/>
      <x:c r="R39" s="234"/>
      <x:c r="S39" s="234"/>
      <x:c r="T39" s="234"/>
      <x:c r="U39" s="234"/>
      <x:c r="V39" s="234"/>
      <x:c r="W39" s="234"/>
      <x:c r="X39" s="234"/>
      <x:c r="Y39" s="234"/>
      <x:c r="Z39" s="234"/>
    </x:row>
    <x:row r="40">
      <x:c r="A40" s="234"/>
      <x:c r="B40" s="234"/>
      <x:c r="C40" s="234"/>
      <x:c r="D40" s="234"/>
      <x:c r="E40" s="234"/>
      <x:c r="F40" s="234"/>
      <x:c r="G40" s="234"/>
      <x:c r="H40" s="234"/>
      <x:c r="I40" s="234"/>
      <x:c r="J40" s="234"/>
      <x:c r="K40" s="234"/>
      <x:c r="L40" s="234"/>
      <x:c r="M40" s="234"/>
      <x:c r="N40" s="234"/>
      <x:c r="O40" s="234"/>
      <x:c r="P40" s="234"/>
      <x:c r="Q40" s="234"/>
      <x:c r="R40" s="234"/>
      <x:c r="S40" s="234"/>
      <x:c r="T40" s="234"/>
      <x:c r="U40" s="234"/>
      <x:c r="V40" s="234"/>
      <x:c r="W40" s="234"/>
      <x:c r="X40" s="234"/>
      <x:c r="Y40" s="234"/>
      <x:c r="Z40" s="234"/>
    </x:row>
    <x:row r="41">
      <x:c r="A41" s="234"/>
      <x:c r="B41" s="234"/>
      <x:c r="C41" s="234"/>
      <x:c r="D41" s="234"/>
      <x:c r="E41" s="234"/>
      <x:c r="F41" s="234"/>
      <x:c r="G41" s="234"/>
      <x:c r="H41" s="234"/>
      <x:c r="I41" s="234"/>
      <x:c r="J41" s="234"/>
      <x:c r="K41" s="234"/>
      <x:c r="L41" s="234"/>
      <x:c r="M41" s="234"/>
      <x:c r="N41" s="234"/>
      <x:c r="O41" s="234"/>
      <x:c r="P41" s="234"/>
      <x:c r="Q41" s="234"/>
      <x:c r="R41" s="234"/>
      <x:c r="S41" s="234"/>
      <x:c r="T41" s="234"/>
      <x:c r="U41" s="234"/>
      <x:c r="V41" s="234"/>
      <x:c r="W41" s="234"/>
      <x:c r="X41" s="234"/>
      <x:c r="Y41" s="234"/>
      <x:c r="Z41" s="234"/>
    </x:row>
    <x:row r="42">
      <x:c r="A42" s="234"/>
      <x:c r="B42" s="234"/>
      <x:c r="C42" s="234"/>
      <x:c r="D42" s="234"/>
      <x:c r="E42" s="234"/>
      <x:c r="F42" s="234"/>
      <x:c r="G42" s="234"/>
      <x:c r="H42" s="234"/>
      <x:c r="I42" s="234"/>
      <x:c r="J42" s="234"/>
      <x:c r="K42" s="234"/>
      <x:c r="L42" s="234"/>
      <x:c r="M42" s="234"/>
      <x:c r="N42" s="234"/>
      <x:c r="O42" s="234"/>
      <x:c r="P42" s="234"/>
      <x:c r="Q42" s="234"/>
      <x:c r="R42" s="234"/>
      <x:c r="S42" s="234"/>
      <x:c r="T42" s="234"/>
      <x:c r="U42" s="234"/>
      <x:c r="V42" s="234"/>
      <x:c r="W42" s="234"/>
      <x:c r="X42" s="234"/>
      <x:c r="Y42" s="234"/>
      <x:c r="Z42" s="234"/>
    </x:row>
    <x:row r="43">
      <x:c r="A43" s="234"/>
      <x:c r="B43" s="234"/>
      <x:c r="C43" s="234"/>
      <x:c r="D43" s="234"/>
      <x:c r="E43" s="234"/>
      <x:c r="F43" s="234"/>
      <x:c r="G43" s="234"/>
      <x:c r="H43" s="234"/>
      <x:c r="I43" s="234"/>
      <x:c r="J43" s="234"/>
      <x:c r="K43" s="234"/>
      <x:c r="L43" s="234"/>
      <x:c r="M43" s="234"/>
      <x:c r="N43" s="234"/>
      <x:c r="O43" s="234"/>
      <x:c r="P43" s="234"/>
      <x:c r="Q43" s="234"/>
      <x:c r="R43" s="234"/>
      <x:c r="S43" s="234"/>
      <x:c r="T43" s="234"/>
      <x:c r="U43" s="234"/>
      <x:c r="V43" s="234"/>
      <x:c r="W43" s="234"/>
      <x:c r="X43" s="234"/>
      <x:c r="Y43" s="234"/>
      <x:c r="Z43" s="234"/>
    </x:row>
    <x:row r="44">
      <x:c r="A44" s="234"/>
      <x:c r="B44" s="234"/>
      <x:c r="C44" s="234"/>
      <x:c r="D44" s="234"/>
      <x:c r="E44" s="234"/>
      <x:c r="F44" s="234"/>
      <x:c r="G44" s="234"/>
      <x:c r="H44" s="234"/>
      <x:c r="I44" s="234"/>
      <x:c r="J44" s="234"/>
      <x:c r="K44" s="234"/>
      <x:c r="L44" s="234"/>
      <x:c r="M44" s="234"/>
      <x:c r="N44" s="234"/>
      <x:c r="O44" s="234"/>
      <x:c r="P44" s="234"/>
      <x:c r="Q44" s="234"/>
      <x:c r="R44" s="234"/>
      <x:c r="S44" s="234"/>
      <x:c r="T44" s="234"/>
      <x:c r="U44" s="234"/>
      <x:c r="V44" s="234"/>
      <x:c r="W44" s="234"/>
      <x:c r="X44" s="234"/>
      <x:c r="Y44" s="234"/>
      <x:c r="Z44" s="234"/>
    </x:row>
    <x:row r="45">
      <x:c r="A45" s="234"/>
      <x:c r="B45" s="234"/>
      <x:c r="C45" s="234"/>
      <x:c r="D45" s="234"/>
      <x:c r="E45" s="234"/>
      <x:c r="F45" s="234"/>
      <x:c r="G45" s="234"/>
      <x:c r="H45" s="234"/>
      <x:c r="I45" s="234"/>
      <x:c r="J45" s="234"/>
      <x:c r="K45" s="234"/>
      <x:c r="L45" s="234"/>
      <x:c r="M45" s="234"/>
      <x:c r="N45" s="234"/>
      <x:c r="O45" s="234"/>
      <x:c r="P45" s="234"/>
      <x:c r="Q45" s="234"/>
      <x:c r="R45" s="234"/>
      <x:c r="S45" s="234"/>
      <x:c r="T45" s="234"/>
      <x:c r="U45" s="234"/>
      <x:c r="V45" s="234"/>
      <x:c r="W45" s="234"/>
      <x:c r="X45" s="234"/>
      <x:c r="Y45" s="234"/>
      <x:c r="Z45" s="234"/>
    </x:row>
    <x:row r="46">
      <x:c r="A46" s="234"/>
      <x:c r="B46" s="234"/>
      <x:c r="C46" s="234"/>
      <x:c r="D46" s="234"/>
      <x:c r="E46" s="234"/>
      <x:c r="F46" s="234"/>
      <x:c r="G46" s="234"/>
      <x:c r="H46" s="234"/>
      <x:c r="I46" s="234"/>
      <x:c r="J46" s="234"/>
      <x:c r="K46" s="234"/>
      <x:c r="L46" s="234"/>
      <x:c r="M46" s="234"/>
      <x:c r="N46" s="234"/>
      <x:c r="O46" s="234"/>
      <x:c r="P46" s="234"/>
      <x:c r="Q46" s="234"/>
      <x:c r="R46" s="234"/>
      <x:c r="S46" s="234"/>
      <x:c r="T46" s="234"/>
      <x:c r="U46" s="234"/>
      <x:c r="V46" s="234"/>
      <x:c r="W46" s="234"/>
      <x:c r="X46" s="234"/>
      <x:c r="Y46" s="234"/>
      <x:c r="Z46" s="234"/>
    </x:row>
    <x:row r="47">
      <x:c r="A47" s="234"/>
      <x:c r="B47" s="234"/>
      <x:c r="C47" s="234"/>
      <x:c r="D47" s="234"/>
      <x:c r="E47" s="234"/>
      <x:c r="F47" s="234"/>
      <x:c r="G47" s="234"/>
      <x:c r="H47" s="234"/>
      <x:c r="I47" s="234"/>
      <x:c r="J47" s="234"/>
      <x:c r="K47" s="234"/>
      <x:c r="L47" s="234"/>
      <x:c r="M47" s="234"/>
      <x:c r="N47" s="234"/>
      <x:c r="O47" s="234"/>
      <x:c r="P47" s="234"/>
      <x:c r="Q47" s="234"/>
      <x:c r="R47" s="234"/>
      <x:c r="S47" s="234"/>
      <x:c r="T47" s="234"/>
      <x:c r="U47" s="234"/>
      <x:c r="V47" s="234"/>
      <x:c r="W47" s="234"/>
      <x:c r="X47" s="234"/>
      <x:c r="Y47" s="234"/>
      <x:c r="Z47" s="234"/>
    </x:row>
    <x:row r="48">
      <x:c r="A48" s="234"/>
      <x:c r="B48" s="234"/>
      <x:c r="C48" s="234"/>
      <x:c r="D48" s="234"/>
      <x:c r="E48" s="234"/>
      <x:c r="F48" s="234"/>
      <x:c r="G48" s="234"/>
      <x:c r="H48" s="234"/>
      <x:c r="I48" s="234"/>
      <x:c r="J48" s="234"/>
      <x:c r="K48" s="234"/>
      <x:c r="L48" s="234"/>
      <x:c r="M48" s="234"/>
      <x:c r="N48" s="234"/>
      <x:c r="O48" s="234"/>
      <x:c r="P48" s="234"/>
      <x:c r="Q48" s="234"/>
      <x:c r="R48" s="234"/>
      <x:c r="S48" s="234"/>
      <x:c r="T48" s="234"/>
      <x:c r="U48" s="234"/>
      <x:c r="V48" s="234"/>
      <x:c r="W48" s="234"/>
      <x:c r="X48" s="234"/>
      <x:c r="Y48" s="234"/>
      <x:c r="Z48" s="234"/>
    </x:row>
    <x:row r="49">
      <x:c r="A49" s="234"/>
      <x:c r="B49" s="234"/>
      <x:c r="C49" s="234"/>
      <x:c r="D49" s="234"/>
      <x:c r="E49" s="234"/>
      <x:c r="F49" s="234"/>
      <x:c r="G49" s="234"/>
      <x:c r="H49" s="234"/>
      <x:c r="I49" s="234"/>
      <x:c r="J49" s="234"/>
      <x:c r="K49" s="234"/>
      <x:c r="L49" s="234"/>
      <x:c r="M49" s="234"/>
      <x:c r="N49" s="234"/>
      <x:c r="O49" s="234"/>
      <x:c r="P49" s="234"/>
      <x:c r="Q49" s="234"/>
      <x:c r="R49" s="234"/>
      <x:c r="S49" s="234"/>
      <x:c r="T49" s="234"/>
      <x:c r="U49" s="234"/>
      <x:c r="V49" s="234"/>
      <x:c r="W49" s="234"/>
      <x:c r="X49" s="234"/>
      <x:c r="Y49" s="234"/>
      <x:c r="Z49" s="234"/>
    </x:row>
    <x:row r="50">
      <x:c r="A50" s="234"/>
      <x:c r="B50" s="234"/>
      <x:c r="C50" s="234"/>
      <x:c r="D50" s="234"/>
      <x:c r="E50" s="234"/>
      <x:c r="F50" s="234"/>
      <x:c r="G50" s="234"/>
      <x:c r="H50" s="234"/>
      <x:c r="I50" s="234"/>
      <x:c r="J50" s="234"/>
      <x:c r="K50" s="234"/>
      <x:c r="L50" s="234"/>
      <x:c r="M50" s="234"/>
      <x:c r="N50" s="234"/>
      <x:c r="O50" s="234"/>
      <x:c r="P50" s="234"/>
      <x:c r="Q50" s="234"/>
      <x:c r="R50" s="234"/>
      <x:c r="S50" s="234"/>
      <x:c r="T50" s="234"/>
      <x:c r="U50" s="234"/>
      <x:c r="V50" s="234"/>
      <x:c r="W50" s="234"/>
      <x:c r="X50" s="234"/>
      <x:c r="Y50" s="234"/>
      <x:c r="Z50" s="234"/>
    </x:row>
    <x:row r="51">
      <x:c r="A51" s="234"/>
      <x:c r="B51" s="234"/>
      <x:c r="C51" s="234"/>
      <x:c r="D51" s="234"/>
      <x:c r="E51" s="234"/>
      <x:c r="F51" s="234"/>
      <x:c r="G51" s="234"/>
      <x:c r="H51" s="234"/>
      <x:c r="I51" s="234"/>
      <x:c r="J51" s="234"/>
      <x:c r="K51" s="234"/>
      <x:c r="L51" s="234"/>
      <x:c r="M51" s="234"/>
      <x:c r="N51" s="234"/>
      <x:c r="O51" s="234"/>
      <x:c r="P51" s="234"/>
      <x:c r="Q51" s="234"/>
      <x:c r="R51" s="234"/>
      <x:c r="S51" s="234"/>
      <x:c r="T51" s="234"/>
      <x:c r="U51" s="234"/>
      <x:c r="V51" s="234"/>
      <x:c r="W51" s="234"/>
      <x:c r="X51" s="234"/>
      <x:c r="Y51" s="234"/>
      <x:c r="Z51" s="234"/>
    </x:row>
    <x:row r="52">
      <x:c r="A52" s="234"/>
      <x:c r="B52" s="234"/>
      <x:c r="C52" s="234"/>
      <x:c r="D52" s="234"/>
      <x:c r="E52" s="234"/>
      <x:c r="F52" s="234"/>
      <x:c r="G52" s="234"/>
      <x:c r="H52" s="234"/>
      <x:c r="I52" s="234"/>
      <x:c r="J52" s="234"/>
      <x:c r="K52" s="234"/>
      <x:c r="L52" s="234"/>
      <x:c r="M52" s="234"/>
      <x:c r="N52" s="234"/>
      <x:c r="O52" s="234"/>
      <x:c r="P52" s="234"/>
      <x:c r="Q52" s="234"/>
      <x:c r="R52" s="234"/>
      <x:c r="S52" s="234"/>
      <x:c r="T52" s="234"/>
      <x:c r="U52" s="234"/>
      <x:c r="V52" s="234"/>
      <x:c r="W52" s="234"/>
      <x:c r="X52" s="234"/>
      <x:c r="Y52" s="234"/>
      <x:c r="Z52" s="234"/>
    </x:row>
    <x:row r="53">
      <x:c r="A53" s="234"/>
      <x:c r="B53" s="234"/>
      <x:c r="C53" s="234"/>
      <x:c r="D53" s="234"/>
      <x:c r="E53" s="234"/>
      <x:c r="F53" s="234"/>
      <x:c r="G53" s="234"/>
      <x:c r="H53" s="234"/>
      <x:c r="I53" s="234"/>
      <x:c r="J53" s="234"/>
      <x:c r="K53" s="234"/>
      <x:c r="L53" s="234"/>
      <x:c r="M53" s="234"/>
      <x:c r="N53" s="234"/>
      <x:c r="O53" s="234"/>
      <x:c r="P53" s="234"/>
      <x:c r="Q53" s="234"/>
      <x:c r="R53" s="234"/>
      <x:c r="S53" s="234"/>
      <x:c r="T53" s="234"/>
      <x:c r="U53" s="234"/>
      <x:c r="V53" s="234"/>
      <x:c r="W53" s="234"/>
      <x:c r="X53" s="234"/>
      <x:c r="Y53" s="234"/>
      <x:c r="Z53" s="234"/>
    </x:row>
    <x:row r="54">
      <x:c r="A54" s="234"/>
      <x:c r="B54" s="234"/>
      <x:c r="C54" s="234"/>
      <x:c r="D54" s="234"/>
      <x:c r="E54" s="234"/>
      <x:c r="F54" s="234"/>
      <x:c r="G54" s="234"/>
      <x:c r="H54" s="234"/>
      <x:c r="I54" s="234"/>
      <x:c r="J54" s="234"/>
      <x:c r="K54" s="234"/>
      <x:c r="L54" s="234"/>
      <x:c r="M54" s="234"/>
      <x:c r="N54" s="234"/>
      <x:c r="O54" s="234"/>
      <x:c r="P54" s="234"/>
      <x:c r="Q54" s="234"/>
      <x:c r="R54" s="234"/>
      <x:c r="S54" s="234"/>
      <x:c r="T54" s="234"/>
      <x:c r="U54" s="234"/>
      <x:c r="V54" s="234"/>
      <x:c r="W54" s="234"/>
      <x:c r="X54" s="234"/>
      <x:c r="Y54" s="234"/>
      <x:c r="Z54" s="234"/>
    </x:row>
    <x:row r="55">
      <x:c r="A55" s="234"/>
      <x:c r="B55" s="234"/>
      <x:c r="C55" s="234"/>
      <x:c r="D55" s="234"/>
      <x:c r="E55" s="234"/>
      <x:c r="F55" s="234"/>
      <x:c r="G55" s="234"/>
      <x:c r="H55" s="234"/>
      <x:c r="I55" s="234"/>
      <x:c r="J55" s="234"/>
      <x:c r="K55" s="234"/>
      <x:c r="L55" s="234"/>
      <x:c r="M55" s="234"/>
      <x:c r="N55" s="234"/>
      <x:c r="O55" s="234"/>
      <x:c r="P55" s="234"/>
      <x:c r="Q55" s="234"/>
      <x:c r="R55" s="234"/>
      <x:c r="S55" s="234"/>
      <x:c r="T55" s="234"/>
      <x:c r="U55" s="234"/>
      <x:c r="V55" s="234"/>
      <x:c r="W55" s="234"/>
      <x:c r="X55" s="234"/>
      <x:c r="Y55" s="234"/>
      <x:c r="Z55" s="234"/>
    </x:row>
    <x:row r="56">
      <x:c r="A56" s="234"/>
      <x:c r="B56" s="234"/>
      <x:c r="C56" s="234"/>
      <x:c r="D56" s="234"/>
      <x:c r="E56" s="234"/>
      <x:c r="F56" s="234"/>
      <x:c r="G56" s="234"/>
      <x:c r="H56" s="234"/>
      <x:c r="I56" s="234"/>
      <x:c r="J56" s="234"/>
      <x:c r="K56" s="234"/>
      <x:c r="L56" s="234"/>
      <x:c r="M56" s="234"/>
      <x:c r="N56" s="234"/>
      <x:c r="O56" s="234"/>
      <x:c r="P56" s="234"/>
      <x:c r="Q56" s="234"/>
      <x:c r="R56" s="234"/>
      <x:c r="S56" s="234"/>
      <x:c r="T56" s="234"/>
      <x:c r="U56" s="234"/>
      <x:c r="V56" s="234"/>
      <x:c r="W56" s="234"/>
      <x:c r="X56" s="234"/>
      <x:c r="Y56" s="234"/>
      <x:c r="Z56" s="234"/>
    </x:row>
    <x:row r="57">
      <x:c r="A57" s="234"/>
      <x:c r="B57" s="234"/>
      <x:c r="C57" s="234"/>
      <x:c r="D57" s="234"/>
      <x:c r="E57" s="234"/>
      <x:c r="F57" s="234"/>
      <x:c r="G57" s="234"/>
      <x:c r="H57" s="234"/>
      <x:c r="I57" s="234"/>
      <x:c r="J57" s="234"/>
      <x:c r="K57" s="234"/>
      <x:c r="L57" s="234"/>
      <x:c r="M57" s="234"/>
      <x:c r="N57" s="234"/>
      <x:c r="O57" s="234"/>
      <x:c r="P57" s="234"/>
      <x:c r="Q57" s="234"/>
      <x:c r="R57" s="234"/>
      <x:c r="S57" s="234"/>
      <x:c r="T57" s="234"/>
      <x:c r="U57" s="234"/>
      <x:c r="V57" s="234"/>
      <x:c r="W57" s="234"/>
      <x:c r="X57" s="234"/>
      <x:c r="Y57" s="234"/>
      <x:c r="Z57" s="234"/>
    </x:row>
    <x:row r="58">
      <x:c r="A58" s="234"/>
      <x:c r="B58" s="234"/>
      <x:c r="C58" s="234"/>
      <x:c r="D58" s="234"/>
      <x:c r="E58" s="234"/>
      <x:c r="F58" s="234"/>
      <x:c r="G58" s="234"/>
      <x:c r="H58" s="234"/>
      <x:c r="I58" s="234"/>
      <x:c r="J58" s="234"/>
      <x:c r="K58" s="234"/>
      <x:c r="L58" s="234"/>
      <x:c r="M58" s="234"/>
      <x:c r="N58" s="234"/>
      <x:c r="O58" s="234"/>
      <x:c r="P58" s="234"/>
      <x:c r="Q58" s="234"/>
      <x:c r="R58" s="234"/>
      <x:c r="S58" s="234"/>
      <x:c r="T58" s="234"/>
      <x:c r="U58" s="234"/>
      <x:c r="V58" s="234"/>
      <x:c r="W58" s="234"/>
      <x:c r="X58" s="234"/>
      <x:c r="Y58" s="234"/>
      <x:c r="Z58" s="234"/>
    </x:row>
    <x:row r="59">
      <x:c r="A59" s="234"/>
      <x:c r="B59" s="234"/>
      <x:c r="C59" s="234"/>
      <x:c r="D59" s="234"/>
      <x:c r="E59" s="234"/>
      <x:c r="F59" s="234"/>
      <x:c r="G59" s="234"/>
      <x:c r="H59" s="234"/>
      <x:c r="I59" s="234"/>
      <x:c r="J59" s="234"/>
      <x:c r="K59" s="234"/>
      <x:c r="L59" s="234"/>
      <x:c r="M59" s="234"/>
      <x:c r="N59" s="234"/>
      <x:c r="O59" s="234"/>
      <x:c r="P59" s="234"/>
      <x:c r="Q59" s="234"/>
      <x:c r="R59" s="234"/>
      <x:c r="S59" s="234"/>
      <x:c r="T59" s="234"/>
      <x:c r="U59" s="234"/>
      <x:c r="V59" s="234"/>
      <x:c r="W59" s="234"/>
      <x:c r="X59" s="234"/>
      <x:c r="Y59" s="234"/>
      <x:c r="Z59" s="234"/>
    </x:row>
    <x:row r="60">
      <x:c r="A60" s="234"/>
      <x:c r="B60" s="234"/>
      <x:c r="C60" s="234"/>
      <x:c r="D60" s="234"/>
      <x:c r="E60" s="234"/>
      <x:c r="F60" s="234"/>
      <x:c r="G60" s="234"/>
      <x:c r="H60" s="234"/>
      <x:c r="I60" s="234"/>
      <x:c r="J60" s="234"/>
      <x:c r="K60" s="234"/>
      <x:c r="L60" s="234"/>
      <x:c r="M60" s="234"/>
      <x:c r="N60" s="234"/>
      <x:c r="O60" s="234"/>
      <x:c r="P60" s="234"/>
      <x:c r="Q60" s="234"/>
      <x:c r="R60" s="234"/>
      <x:c r="S60" s="234"/>
      <x:c r="T60" s="234"/>
      <x:c r="U60" s="234"/>
      <x:c r="V60" s="234"/>
      <x:c r="W60" s="234"/>
      <x:c r="X60" s="234"/>
      <x:c r="Y60" s="234"/>
      <x:c r="Z60" s="234"/>
    </x:row>
  </x:sheetData>
  <x:mergeCells>
    <x:mergeCell ref="A1:I1"/>
    <x:mergeCell ref="A3:I3"/>
    <x:mergeCell ref="A14:I14"/>
    <x:mergeCell ref="B15:I15"/>
    <x:mergeCell ref="B16:I16"/>
    <x:mergeCell ref="B17:I17"/>
    <x:mergeCell ref="B18:I18"/>
    <x:mergeCell ref="B19:I19"/>
  </x:mergeCells>
  <x:pageMargins left="0.7" right="0.7" top="0.75" bottom="0.75" header="0.3" footer="0.3"/>
  <x:drawing xmlns:r="http://schemas.openxmlformats.org/officeDocument/2006/relationships" r:id="R57cb9c3249ab4fb7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5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8" customHeight="1">
      <x:c r="A1" s="26" t="str">
        <x:v>Discounted Cash Flow Valuation | FCFF</x:v>
      </x:c>
      <x:c r="B1" s="26" t="str">
        <x:v>Discounted Cash Flow Valuation | FCFF</x:v>
      </x:c>
      <x:c r="C1" s="26" t="str">
        <x:v>Discounted Cash Flow Valuation | FCFF</x:v>
      </x:c>
      <x:c r="D1" s="26" t="str">
        <x:v>Discounted Cash Flow Valuation | FCFF</x:v>
      </x:c>
      <x:c r="E1" s="26" t="str">
        <x:v>Discounted Cash Flow Valuation | FCFF</x:v>
      </x:c>
      <x:c r="F1" s="26" t="str">
        <x:v>Discounted Cash Flow Valuation | FCFF</x:v>
      </x:c>
      <x:c r="G1" s="26" t="str">
        <x:v>Discounted Cash Flow Valuation | FCFF</x:v>
      </x:c>
      <x:c r="H1" s="26" t="str">
        <x:v>Discounted Cash Flow Valuation | FCFF</x:v>
      </x:c>
      <x:c r="I1" s="235"/>
      <x:c r="J1" s="235"/>
      <x:c r="K1" s="235"/>
      <x:c r="L1" s="235"/>
      <x:c r="M1" s="234"/>
      <x:c r="N1" s="234"/>
      <x:c r="O1" s="234"/>
      <x:c r="P1" s="234"/>
      <x:c r="Q1" s="234"/>
      <x:c r="R1" s="234"/>
      <x:c r="S1" s="234"/>
      <x:c r="T1" s="234"/>
      <x:c r="U1" s="234"/>
      <x:c r="V1" s="234"/>
      <x:c r="W1" s="234"/>
      <x:c r="X1" s="234"/>
      <x:c r="Y1" s="234"/>
      <x:c r="Z1" s="234"/>
    </x:row>
    <x:row r="2">
      <x:c r="A2" s="235"/>
      <x:c r="B2" s="235"/>
      <x:c r="C2" s="235"/>
      <x:c r="D2" s="235"/>
      <x:c r="E2" s="235"/>
      <x:c r="F2" s="235"/>
      <x:c r="G2" s="235"/>
      <x:c r="H2" s="235"/>
      <x:c r="I2" s="235"/>
      <x:c r="J2" s="235"/>
      <x:c r="K2" s="235"/>
      <x:c r="L2" s="235"/>
      <x:c r="M2" s="234"/>
      <x:c r="N2" s="234"/>
      <x:c r="O2" s="234"/>
      <x:c r="P2" s="234"/>
      <x:c r="Q2" s="234"/>
      <x:c r="R2" s="234"/>
      <x:c r="S2" s="234"/>
      <x:c r="T2" s="234"/>
      <x:c r="U2" s="234"/>
      <x:c r="V2" s="234"/>
      <x:c r="W2" s="234"/>
      <x:c r="X2" s="234"/>
      <x:c r="Y2" s="234"/>
      <x:c r="Z2" s="234"/>
    </x:row>
    <x:row r="3" ht="21" customHeight="1">
      <x:c r="A3" s="58" t="str">
        <x:v>Key Assumptions</x:v>
      </x:c>
      <x:c r="B3" s="58" t="str">
        <x:v>Key Assumptions</x:v>
      </x:c>
      <x:c r="C3" s="58" t="str">
        <x:v>Key Assumptions</x:v>
      </x:c>
      <x:c r="D3" s="58" t="str">
        <x:v>Key Assumptions</x:v>
      </x:c>
      <x:c r="E3" s="235"/>
      <x:c r="F3" s="235"/>
      <x:c r="G3" s="235"/>
      <x:c r="H3" s="235"/>
      <x:c r="I3" s="235"/>
      <x:c r="J3" s="235"/>
      <x:c r="K3" s="235"/>
      <x:c r="L3" s="235"/>
      <x:c r="M3" s="234"/>
      <x:c r="N3" s="234"/>
      <x:c r="O3" s="234"/>
      <x:c r="P3" s="234"/>
      <x:c r="Q3" s="234"/>
      <x:c r="R3" s="234"/>
      <x:c r="S3" s="234"/>
      <x:c r="T3" s="234"/>
      <x:c r="U3" s="234"/>
      <x:c r="V3" s="234"/>
      <x:c r="W3" s="234"/>
      <x:c r="X3" s="234"/>
      <x:c r="Y3" s="234"/>
      <x:c r="Z3" s="234"/>
    </x:row>
    <x:row r="4">
      <x:c r="A4" s="28" t="str">
        <x:v>Assumption</x:v>
      </x:c>
      <x:c r="B4" s="28" t="str">
        <x:v>Value</x:v>
      </x:c>
      <x:c r="C4" s="28" t="str">
        <x:v>Units</x:v>
      </x:c>
      <x:c r="D4" s="28" t="str">
        <x:v>Rationale / Source</x:v>
      </x:c>
      <x:c r="E4" s="235"/>
      <x:c r="F4" s="235"/>
      <x:c r="G4" s="235"/>
      <x:c r="H4" s="235"/>
      <x:c r="I4" s="235"/>
      <x:c r="J4" s="235"/>
      <x:c r="K4" s="235"/>
      <x:c r="L4" s="235"/>
      <x:c r="M4" s="234"/>
      <x:c r="N4" s="234"/>
      <x:c r="O4" s="234"/>
      <x:c r="P4" s="234"/>
      <x:c r="Q4" s="234"/>
      <x:c r="R4" s="234"/>
      <x:c r="S4" s="234"/>
      <x:c r="T4" s="234"/>
      <x:c r="U4" s="234"/>
      <x:c r="V4" s="234"/>
      <x:c r="W4" s="234"/>
      <x:c r="X4" s="234"/>
      <x:c r="Y4" s="234"/>
      <x:c r="Z4" s="234"/>
    </x:row>
    <x:row r="5">
      <x:c r="A5" s="235" t="str">
        <x:v>Valuation date</x:v>
      </x:c>
      <x:c r="B5" s="235" t="str">
        <x:v>Retrospective FY2024</x:v>
      </x:c>
      <x:c r="C5" s="235" t="str">
        <x:v>date</x:v>
      </x:c>
      <x:c r="D5" s="235" t="str">
        <x:v>Uses FY2024 results released later; not an investable 31-Dec-2024 backtest.</x:v>
      </x:c>
      <x:c r="E5" s="235"/>
      <x:c r="F5" s="235"/>
      <x:c r="G5" s="235"/>
      <x:c r="H5" s="235"/>
      <x:c r="I5" s="235"/>
      <x:c r="J5" s="235"/>
      <x:c r="K5" s="235"/>
      <x:c r="L5" s="235"/>
      <x:c r="M5" s="234"/>
      <x:c r="N5" s="234"/>
      <x:c r="O5" s="234"/>
      <x:c r="P5" s="234"/>
      <x:c r="Q5" s="234"/>
      <x:c r="R5" s="234"/>
      <x:c r="S5" s="234"/>
      <x:c r="T5" s="234"/>
      <x:c r="U5" s="234"/>
      <x:c r="V5" s="234"/>
      <x:c r="W5" s="234"/>
      <x:c r="X5" s="234"/>
      <x:c r="Y5" s="234"/>
      <x:c r="Z5" s="234"/>
    </x:row>
    <x:row r="6">
      <x:c r="A6" s="235" t="str">
        <x:v>Base turnover</x:v>
      </x:c>
      <x:c r="B6" s="344" t="n">
        <x:f>Historicals!G5</x:f>
        <x:v>60.761</x:v>
      </x:c>
      <x:c r="C6" s="235" t="str">
        <x:v>€bn</x:v>
      </x:c>
      <x:c r="D6" s="235" t="str">
        <x:v>U24</x:v>
      </x:c>
      <x:c r="E6" s="235"/>
      <x:c r="F6" s="235"/>
      <x:c r="G6" s="235"/>
      <x:c r="H6" s="235"/>
      <x:c r="I6" s="235"/>
      <x:c r="J6" s="235"/>
      <x:c r="K6" s="235"/>
      <x:c r="L6" s="235"/>
      <x:c r="M6" s="234"/>
      <x:c r="N6" s="234"/>
      <x:c r="O6" s="234"/>
      <x:c r="P6" s="234"/>
      <x:c r="Q6" s="234"/>
      <x:c r="R6" s="234"/>
      <x:c r="S6" s="234"/>
      <x:c r="T6" s="234"/>
      <x:c r="U6" s="234"/>
      <x:c r="V6" s="234"/>
      <x:c r="W6" s="234"/>
      <x:c r="X6" s="234"/>
      <x:c r="Y6" s="234"/>
      <x:c r="Z6" s="234"/>
    </x:row>
    <x:row r="7">
      <x:c r="A7" s="235" t="str">
        <x:v>Cash tax rate</x:v>
      </x:c>
      <x:c r="B7" s="294" t="n">
        <x:v>0.245</x:v>
      </x:c>
      <x:c r="C7" s="235" t="str">
        <x:v>%</x:v>
      </x:c>
      <x:c r="D7" s="235" t="str">
        <x:v>Analyst assumption, anchored to recent underlying tax rates</x:v>
      </x:c>
      <x:c r="E7" s="235"/>
      <x:c r="F7" s="235"/>
      <x:c r="G7" s="235"/>
      <x:c r="H7" s="235"/>
      <x:c r="I7" s="235"/>
      <x:c r="J7" s="235"/>
      <x:c r="K7" s="235"/>
      <x:c r="L7" s="235"/>
      <x:c r="M7" s="234"/>
      <x:c r="N7" s="234"/>
      <x:c r="O7" s="234"/>
      <x:c r="P7" s="234"/>
      <x:c r="Q7" s="234"/>
      <x:c r="R7" s="234"/>
      <x:c r="S7" s="234"/>
      <x:c r="T7" s="234"/>
      <x:c r="U7" s="234"/>
      <x:c r="V7" s="234"/>
      <x:c r="W7" s="234"/>
      <x:c r="X7" s="234"/>
      <x:c r="Y7" s="234"/>
      <x:c r="Z7" s="234"/>
    </x:row>
    <x:row r="8">
      <x:c r="A8" s="235" t="str">
        <x:v>D&amp;A / turnover</x:v>
      </x:c>
      <x:c r="B8" s="294" t="n">
        <x:v>0.027</x:v>
      </x:c>
      <x:c r="C8" s="235" t="str">
        <x:v>%</x:v>
      </x:c>
      <x:c r="D8" s="235" t="str">
        <x:v>Analyst assumption</x:v>
      </x:c>
      <x:c r="E8" s="235"/>
      <x:c r="F8" s="235"/>
      <x:c r="G8" s="235"/>
      <x:c r="H8" s="235"/>
      <x:c r="I8" s="235"/>
      <x:c r="J8" s="235"/>
      <x:c r="K8" s="235"/>
      <x:c r="L8" s="235"/>
      <x:c r="M8" s="234"/>
      <x:c r="N8" s="234"/>
      <x:c r="O8" s="234"/>
      <x:c r="P8" s="234"/>
      <x:c r="Q8" s="234"/>
      <x:c r="R8" s="234"/>
      <x:c r="S8" s="234"/>
      <x:c r="T8" s="234"/>
      <x:c r="U8" s="234"/>
      <x:c r="V8" s="234"/>
      <x:c r="W8" s="234"/>
      <x:c r="X8" s="234"/>
      <x:c r="Y8" s="234"/>
      <x:c r="Z8" s="234"/>
    </x:row>
    <x:row r="9">
      <x:c r="A9" s="235" t="str">
        <x:v>ΔNWC / incremental sales</x:v>
      </x:c>
      <x:c r="B9" s="294" t="n">
        <x:v>0.05</x:v>
      </x:c>
      <x:c r="C9" s="235" t="str">
        <x:v>%</x:v>
      </x:c>
      <x:c r="D9" s="235" t="str">
        <x:v>Analyst assumption</x:v>
      </x:c>
      <x:c r="E9" s="235"/>
      <x:c r="F9" s="235"/>
      <x:c r="G9" s="235"/>
      <x:c r="H9" s="235"/>
      <x:c r="I9" s="235"/>
      <x:c r="J9" s="235"/>
      <x:c r="K9" s="235"/>
      <x:c r="L9" s="235"/>
      <x:c r="M9" s="234"/>
      <x:c r="N9" s="234"/>
      <x:c r="O9" s="234"/>
      <x:c r="P9" s="234"/>
      <x:c r="Q9" s="234"/>
      <x:c r="R9" s="234"/>
      <x:c r="S9" s="234"/>
      <x:c r="T9" s="234"/>
      <x:c r="U9" s="234"/>
      <x:c r="V9" s="234"/>
      <x:c r="W9" s="234"/>
      <x:c r="X9" s="234"/>
      <x:c r="Y9" s="234"/>
      <x:c r="Z9" s="234"/>
    </x:row>
    <x:row r="10">
      <x:c r="A10" s="235" t="str">
        <x:v>WACC</x:v>
      </x:c>
      <x:c r="B10" s="350" t="n">
        <x:f>IF(B53=0,IF(AND(ISNUMBER(B52),ISNUMBER(B11),B52&gt;0,B11&gt;-1,B52&gt;B11),B52,NA()),IF(B53=1,IF(AND(B51&gt;0,ISNUMBER(B11),B11&gt;-1,B51&gt;B11),B51,NA()),NA()))</x:f>
        <x:v>0.07</x:v>
      </x:c>
      <x:c r="C10" s="235" t="str">
        <x:v>%</x:v>
      </x:c>
      <x:c r="D10" s="235" t="str">
        <x:v>Manual 7% retained; CAPM switch and assumptions below.</x:v>
      </x:c>
      <x:c r="E10" s="235"/>
      <x:c r="F10" s="235"/>
      <x:c r="G10" s="235"/>
      <x:c r="H10" s="235"/>
      <x:c r="I10" s="235"/>
      <x:c r="J10" s="235"/>
      <x:c r="K10" s="235"/>
      <x:c r="L10" s="235"/>
      <x:c r="M10" s="234"/>
      <x:c r="N10" s="234"/>
      <x:c r="O10" s="234"/>
      <x:c r="P10" s="234"/>
      <x:c r="Q10" s="234"/>
      <x:c r="R10" s="234"/>
      <x:c r="S10" s="234"/>
      <x:c r="T10" s="234"/>
      <x:c r="U10" s="234"/>
      <x:c r="V10" s="234"/>
      <x:c r="W10" s="234"/>
      <x:c r="X10" s="234"/>
      <x:c r="Y10" s="234"/>
      <x:c r="Z10" s="234"/>
    </x:row>
    <x:row r="11">
      <x:c r="A11" s="235" t="str">
        <x:v>Terminal growth</x:v>
      </x:c>
      <x:c r="B11" s="294" t="n">
        <x:v>0.02</x:v>
      </x:c>
      <x:c r="C11" s="235" t="str">
        <x:v>%</x:v>
      </x:c>
      <x:c r="D11" s="235" t="str">
        <x:v>Analyst assumption; below long-run nominal category growth</x:v>
      </x:c>
      <x:c r="E11" s="235"/>
      <x:c r="F11" s="235"/>
      <x:c r="G11" s="235"/>
      <x:c r="H11" s="235"/>
      <x:c r="I11" s="235"/>
      <x:c r="J11" s="235"/>
      <x:c r="K11" s="235"/>
      <x:c r="L11" s="235"/>
      <x:c r="M11" s="234"/>
      <x:c r="N11" s="234"/>
      <x:c r="O11" s="234"/>
      <x:c r="P11" s="234"/>
      <x:c r="Q11" s="234"/>
      <x:c r="R11" s="234"/>
      <x:c r="S11" s="234"/>
      <x:c r="T11" s="234"/>
      <x:c r="U11" s="234"/>
      <x:c r="V11" s="234"/>
      <x:c r="W11" s="234"/>
      <x:c r="X11" s="234"/>
      <x:c r="Y11" s="234"/>
      <x:c r="Z11" s="234"/>
    </x:row>
    <x:row r="12">
      <x:c r="A12" s="235" t="str">
        <x:v>Net debt</x:v>
      </x:c>
      <x:c r="B12" s="344" t="n">
        <x:f>Historicals!H25</x:f>
        <x:v>24.519</x:v>
      </x:c>
      <x:c r="C12" s="235" t="str">
        <x:v>€bn</x:v>
      </x:c>
      <x:c r="D12" s="235" t="str">
        <x:v>U24</x:v>
      </x:c>
      <x:c r="E12" s="235"/>
      <x:c r="F12" s="235"/>
      <x:c r="G12" s="235"/>
      <x:c r="H12" s="235"/>
      <x:c r="I12" s="235"/>
      <x:c r="J12" s="235"/>
      <x:c r="K12" s="235"/>
      <x:c r="L12" s="235"/>
      <x:c r="M12" s="234"/>
      <x:c r="N12" s="234"/>
      <x:c r="O12" s="234"/>
      <x:c r="P12" s="234"/>
      <x:c r="Q12" s="234"/>
      <x:c r="R12" s="234"/>
      <x:c r="S12" s="234"/>
      <x:c r="T12" s="234"/>
      <x:c r="U12" s="234"/>
      <x:c r="V12" s="234"/>
      <x:c r="W12" s="234"/>
      <x:c r="X12" s="234"/>
      <x:c r="Y12" s="234"/>
      <x:c r="Z12" s="234"/>
    </x:row>
    <x:row r="13">
      <x:c r="A13" s="235" t="str">
        <x:v>Non-controlling interests</x:v>
      </x:c>
      <x:c r="B13" s="272" t="n">
        <x:v>2.565</x:v>
      </x:c>
      <x:c r="C13" s="235" t="str">
        <x:v>€bn</x:v>
      </x:c>
      <x:c r="D13" s="235" t="str">
        <x:v>U24</x:v>
      </x:c>
      <x:c r="E13" s="235"/>
      <x:c r="F13" s="235"/>
      <x:c r="G13" s="235"/>
      <x:c r="H13" s="235"/>
      <x:c r="I13" s="235"/>
      <x:c r="J13" s="235"/>
      <x:c r="K13" s="235"/>
      <x:c r="L13" s="235"/>
      <x:c r="M13" s="234"/>
      <x:c r="N13" s="234"/>
      <x:c r="O13" s="234"/>
      <x:c r="P13" s="234"/>
      <x:c r="Q13" s="234"/>
      <x:c r="R13" s="234"/>
      <x:c r="S13" s="234"/>
      <x:c r="T13" s="234"/>
      <x:c r="U13" s="234"/>
      <x:c r="V13" s="234"/>
      <x:c r="W13" s="234"/>
      <x:c r="X13" s="234"/>
      <x:c r="Y13" s="234"/>
      <x:c r="Z13" s="234"/>
    </x:row>
    <x:row r="14">
      <x:c r="A14" s="235" t="str">
        <x:v>Diluted shares</x:v>
      </x:c>
      <x:c r="B14" s="295" t="n">
        <x:v>2.5071</x:v>
      </x:c>
      <x:c r="C14" s="235" t="str">
        <x:v>bn shares</x:v>
      </x:c>
      <x:c r="D14" s="235" t="str">
        <x:v>U24</x:v>
      </x:c>
      <x:c r="E14" s="235"/>
      <x:c r="F14" s="235"/>
      <x:c r="G14" s="235"/>
      <x:c r="H14" s="235"/>
      <x:c r="I14" s="235"/>
      <x:c r="J14" s="235"/>
      <x:c r="K14" s="235"/>
      <x:c r="L14" s="235"/>
      <x:c r="M14" s="234"/>
      <x:c r="N14" s="234"/>
      <x:c r="O14" s="234"/>
      <x:c r="P14" s="234"/>
      <x:c r="Q14" s="234"/>
      <x:c r="R14" s="234"/>
      <x:c r="S14" s="234"/>
      <x:c r="T14" s="234"/>
      <x:c r="U14" s="234"/>
      <x:c r="V14" s="234"/>
      <x:c r="W14" s="234"/>
      <x:c r="X14" s="234"/>
      <x:c r="Y14" s="234"/>
      <x:c r="Z14" s="234"/>
    </x:row>
    <x:row r="15">
      <x:c r="A15" s="235"/>
      <x:c r="B15" s="235"/>
      <x:c r="C15" s="235"/>
      <x:c r="D15" s="235"/>
      <x:c r="E15" s="235"/>
      <x:c r="F15" s="235"/>
      <x:c r="G15" s="235"/>
      <x:c r="H15" s="235"/>
      <x:c r="I15" s="235"/>
      <x:c r="J15" s="235"/>
      <x:c r="K15" s="235"/>
      <x:c r="L15" s="235"/>
      <x:c r="M15" s="234"/>
      <x:c r="N15" s="234"/>
      <x:c r="O15" s="234"/>
      <x:c r="P15" s="234"/>
      <x:c r="Q15" s="234"/>
      <x:c r="R15" s="234"/>
      <x:c r="S15" s="234"/>
      <x:c r="T15" s="234"/>
      <x:c r="U15" s="234"/>
      <x:c r="V15" s="234"/>
      <x:c r="W15" s="234"/>
      <x:c r="X15" s="234"/>
      <x:c r="Y15" s="234"/>
      <x:c r="Z15" s="234"/>
    </x:row>
    <x:row r="16" ht="21" customHeight="1">
      <x:c r="A16" s="58" t="str">
        <x:v>Forecast</x:v>
      </x:c>
      <x:c r="B16" s="58" t="str">
        <x:v>Forecast</x:v>
      </x:c>
      <x:c r="C16" s="58" t="str">
        <x:v>Forecast</x:v>
      </x:c>
      <x:c r="D16" s="58" t="str">
        <x:v>Forecast</x:v>
      </x:c>
      <x:c r="E16" s="58" t="str">
        <x:v>Forecast</x:v>
      </x:c>
      <x:c r="F16" s="58" t="str">
        <x:v>Forecast</x:v>
      </x:c>
      <x:c r="G16" s="58" t="str">
        <x:v>Forecast</x:v>
      </x:c>
      <x:c r="H16" s="58" t="str">
        <x:v>Forecast</x:v>
      </x:c>
      <x:c r="I16" s="235"/>
      <x:c r="J16" s="235"/>
      <x:c r="K16" s="235"/>
      <x:c r="L16" s="235"/>
      <x:c r="M16" s="234"/>
      <x:c r="N16" s="234"/>
      <x:c r="O16" s="234"/>
      <x:c r="P16" s="234"/>
      <x:c r="Q16" s="234"/>
      <x:c r="R16" s="234"/>
      <x:c r="S16" s="234"/>
      <x:c r="T16" s="234"/>
      <x:c r="U16" s="234"/>
      <x:c r="V16" s="234"/>
      <x:c r="W16" s="234"/>
      <x:c r="X16" s="234"/>
      <x:c r="Y16" s="234"/>
      <x:c r="Z16" s="234"/>
    </x:row>
    <x:row r="17" ht="24" customHeight="1">
      <x:c r="A17" s="328" t="str">
        <x:v>Metric</x:v>
      </x:c>
      <x:c r="B17" s="328" t="str">
        <x:v>Units</x:v>
      </x:c>
      <x:c r="C17" s="328" t="str">
        <x:v>2024A</x:v>
      </x:c>
      <x:c r="D17" s="328" t="str">
        <x:v>2025E</x:v>
      </x:c>
      <x:c r="E17" s="328" t="str">
        <x:v>2026E</x:v>
      </x:c>
      <x:c r="F17" s="328" t="str">
        <x:v>2027E</x:v>
      </x:c>
      <x:c r="G17" s="328" t="str">
        <x:v>2028E</x:v>
      </x:c>
      <x:c r="H17" s="328" t="str">
        <x:v>2029E</x:v>
      </x:c>
      <x:c r="I17" s="235"/>
      <x:c r="J17" s="235"/>
      <x:c r="K17" s="235"/>
      <x:c r="L17" s="235"/>
      <x:c r="M17" s="234"/>
      <x:c r="N17" s="234"/>
      <x:c r="O17" s="234"/>
      <x:c r="P17" s="234"/>
      <x:c r="Q17" s="234"/>
      <x:c r="R17" s="234"/>
      <x:c r="S17" s="234"/>
      <x:c r="T17" s="234"/>
      <x:c r="U17" s="234"/>
      <x:c r="V17" s="234"/>
      <x:c r="W17" s="234"/>
      <x:c r="X17" s="234"/>
      <x:c r="Y17" s="234"/>
      <x:c r="Z17" s="234"/>
    </x:row>
    <x:row r="18">
      <x:c r="A18" s="235" t="str">
        <x:v>Revenue growth</x:v>
      </x:c>
      <x:c r="B18" s="235" t="str">
        <x:v>%</x:v>
      </x:c>
      <x:c r="C18" s="235"/>
      <x:c r="D18" s="294" t="n">
        <x:v>0.04</x:v>
      </x:c>
      <x:c r="E18" s="294" t="n">
        <x:v>0.04</x:v>
      </x:c>
      <x:c r="F18" s="294" t="n">
        <x:v>0.038</x:v>
      </x:c>
      <x:c r="G18" s="294" t="n">
        <x:v>0.035</x:v>
      </x:c>
      <x:c r="H18" s="294" t="n">
        <x:v>0.035</x:v>
      </x:c>
      <x:c r="I18" s="235"/>
      <x:c r="J18" s="235"/>
      <x:c r="K18" s="235"/>
      <x:c r="L18" s="235"/>
      <x:c r="M18" s="234"/>
      <x:c r="N18" s="234"/>
      <x:c r="O18" s="234"/>
      <x:c r="P18" s="234"/>
      <x:c r="Q18" s="234"/>
      <x:c r="R18" s="234"/>
      <x:c r="S18" s="234"/>
      <x:c r="T18" s="234"/>
      <x:c r="U18" s="234"/>
      <x:c r="V18" s="234"/>
      <x:c r="W18" s="234"/>
      <x:c r="X18" s="234"/>
      <x:c r="Y18" s="234"/>
      <x:c r="Z18" s="234"/>
    </x:row>
    <x:row r="19">
      <x:c r="A19" s="235" t="str">
        <x:v>Turnover</x:v>
      </x:c>
      <x:c r="B19" s="235" t="str">
        <x:v>€bn</x:v>
      </x:c>
      <x:c r="C19" s="248" t="n">
        <x:f>B6</x:f>
        <x:v>60.761</x:v>
      </x:c>
      <x:c r="D19" s="248" t="n">
        <x:f>C19*(1+D18)</x:f>
        <x:v>63.19144000000001</x:v>
      </x:c>
      <x:c r="E19" s="248" t="n">
        <x:f>D19*(1+E18)</x:f>
        <x:v>65.71909760000001</x:v>
      </x:c>
      <x:c r="F19" s="248" t="n">
        <x:f>E19*(1+F18)</x:f>
        <x:v>68.21642330880002</x:v>
      </x:c>
      <x:c r="G19" s="248" t="n">
        <x:f>F19*(1+G18)</x:f>
        <x:v>70.60399812460801</x:v>
      </x:c>
      <x:c r="H19" s="248" t="n">
        <x:f>G19*(1+H18)</x:f>
        <x:v>73.07513805896929</x:v>
      </x:c>
      <x:c r="I19" s="235"/>
      <x:c r="J19" s="235"/>
      <x:c r="K19" s="235"/>
      <x:c r="L19" s="235"/>
      <x:c r="M19" s="234"/>
      <x:c r="N19" s="234"/>
      <x:c r="O19" s="234"/>
      <x:c r="P19" s="234"/>
      <x:c r="Q19" s="234"/>
      <x:c r="R19" s="234"/>
      <x:c r="S19" s="234"/>
      <x:c r="T19" s="234"/>
      <x:c r="U19" s="234"/>
      <x:c r="V19" s="234"/>
      <x:c r="W19" s="234"/>
      <x:c r="X19" s="234"/>
      <x:c r="Y19" s="234"/>
      <x:c r="Z19" s="234"/>
    </x:row>
    <x:row r="20">
      <x:c r="A20" s="235" t="str">
        <x:v>Underlying EBIT margin</x:v>
      </x:c>
      <x:c r="B20" s="235" t="str">
        <x:v>%</x:v>
      </x:c>
      <x:c r="C20" s="294" t="n">
        <x:v>0.184</x:v>
      </x:c>
      <x:c r="D20" s="294" t="n">
        <x:v>0.185</x:v>
      </x:c>
      <x:c r="E20" s="294" t="n">
        <x:v>0.188</x:v>
      </x:c>
      <x:c r="F20" s="294" t="n">
        <x:v>0.19</x:v>
      </x:c>
      <x:c r="G20" s="294" t="n">
        <x:v>0.192</x:v>
      </x:c>
      <x:c r="H20" s="294" t="n">
        <x:v>0.192</x:v>
      </x:c>
      <x:c r="I20" s="235"/>
      <x:c r="J20" s="235"/>
      <x:c r="K20" s="235"/>
      <x:c r="L20" s="235"/>
      <x:c r="M20" s="234"/>
      <x:c r="N20" s="234"/>
      <x:c r="O20" s="234"/>
      <x:c r="P20" s="234"/>
      <x:c r="Q20" s="234"/>
      <x:c r="R20" s="234"/>
      <x:c r="S20" s="234"/>
      <x:c r="T20" s="234"/>
      <x:c r="U20" s="234"/>
      <x:c r="V20" s="234"/>
      <x:c r="W20" s="234"/>
      <x:c r="X20" s="234"/>
      <x:c r="Y20" s="234"/>
      <x:c r="Z20" s="234"/>
    </x:row>
    <x:row r="21">
      <x:c r="A21" s="235" t="str">
        <x:v>EBIT</x:v>
      </x:c>
      <x:c r="B21" s="235" t="str">
        <x:v>€bn</x:v>
      </x:c>
      <x:c r="C21" s="248" t="n">
        <x:f>C19*C20</x:f>
        <x:v>11.180024</x:v>
      </x:c>
      <x:c r="D21" s="248" t="n">
        <x:f>D19*D20</x:f>
        <x:v>11.690416400000002</x:v>
      </x:c>
      <x:c r="E21" s="248" t="n">
        <x:f>E19*E20</x:f>
        <x:v>12.355190348800003</x:v>
      </x:c>
      <x:c r="F21" s="248" t="n">
        <x:f>F19*F20</x:f>
        <x:v>12.961120428672004</x:v>
      </x:c>
      <x:c r="G21" s="248" t="n">
        <x:f>G19*G20</x:f>
        <x:v>13.555967639924738</x:v>
      </x:c>
      <x:c r="H21" s="248" t="n">
        <x:f>H19*H20</x:f>
        <x:v>14.030426507322103</x:v>
      </x:c>
      <x:c r="I21" s="235"/>
      <x:c r="J21" s="235"/>
      <x:c r="K21" s="235"/>
      <x:c r="L21" s="235"/>
      <x:c r="M21" s="234"/>
      <x:c r="N21" s="234"/>
      <x:c r="O21" s="234"/>
      <x:c r="P21" s="234"/>
      <x:c r="Q21" s="234"/>
      <x:c r="R21" s="234"/>
      <x:c r="S21" s="234"/>
      <x:c r="T21" s="234"/>
      <x:c r="U21" s="234"/>
      <x:c r="V21" s="234"/>
      <x:c r="W21" s="234"/>
      <x:c r="X21" s="234"/>
      <x:c r="Y21" s="234"/>
      <x:c r="Z21" s="234"/>
    </x:row>
    <x:row r="22">
      <x:c r="A22" s="235" t="str">
        <x:v>NOPAT</x:v>
      </x:c>
      <x:c r="B22" s="235" t="str">
        <x:v>€bn</x:v>
      </x:c>
      <x:c r="C22" s="248" t="n">
        <x:f>C21*(1-B7)</x:f>
        <x:v>8.44091812</x:v>
      </x:c>
      <x:c r="D22" s="248" t="n">
        <x:f>D21*(1-$B$7)</x:f>
        <x:v>8.826264382000002</x:v>
      </x:c>
      <x:c r="E22" s="248" t="n">
        <x:f>E21*(1-$B$7)</x:f>
        <x:v>9.328168713344002</x:v>
      </x:c>
      <x:c r="F22" s="248" t="n">
        <x:f>F21*(1-$B$7)</x:f>
        <x:v>9.785645923647364</x:v>
      </x:c>
      <x:c r="G22" s="248" t="n">
        <x:f>G21*(1-$B$7)</x:f>
        <x:v>10.234755568143177</x:v>
      </x:c>
      <x:c r="H22" s="248" t="n">
        <x:f>H21*(1-$B$7)</x:f>
        <x:v>10.592972013028188</x:v>
      </x:c>
      <x:c r="I22" s="235"/>
      <x:c r="J22" s="235"/>
      <x:c r="K22" s="235"/>
      <x:c r="L22" s="235"/>
      <x:c r="M22" s="234"/>
      <x:c r="N22" s="234"/>
      <x:c r="O22" s="234"/>
      <x:c r="P22" s="234"/>
      <x:c r="Q22" s="234"/>
      <x:c r="R22" s="234"/>
      <x:c r="S22" s="234"/>
      <x:c r="T22" s="234"/>
      <x:c r="U22" s="234"/>
      <x:c r="V22" s="234"/>
      <x:c r="W22" s="234"/>
      <x:c r="X22" s="234"/>
      <x:c r="Y22" s="234"/>
      <x:c r="Z22" s="234"/>
    </x:row>
    <x:row r="23">
      <x:c r="A23" s="235" t="str">
        <x:v>D&amp;A / turnover</x:v>
      </x:c>
      <x:c r="B23" s="235" t="str">
        <x:v>%</x:v>
      </x:c>
      <x:c r="C23" s="249" t="n">
        <x:f>$B$8</x:f>
        <x:v>0.027</x:v>
      </x:c>
      <x:c r="D23" s="249" t="n">
        <x:f>$B$8</x:f>
        <x:v>0.027</x:v>
      </x:c>
      <x:c r="E23" s="249" t="n">
        <x:f>$B$8</x:f>
        <x:v>0.027</x:v>
      </x:c>
      <x:c r="F23" s="249" t="n">
        <x:f>$B$8</x:f>
        <x:v>0.027</x:v>
      </x:c>
      <x:c r="G23" s="249" t="n">
        <x:f>$B$8</x:f>
        <x:v>0.027</x:v>
      </x:c>
      <x:c r="H23" s="249" t="n">
        <x:f>$B$8</x:f>
        <x:v>0.027</x:v>
      </x:c>
      <x:c r="I23" s="235"/>
      <x:c r="J23" s="235"/>
      <x:c r="K23" s="235"/>
      <x:c r="L23" s="235"/>
      <x:c r="M23" s="234"/>
      <x:c r="N23" s="234"/>
      <x:c r="O23" s="234"/>
      <x:c r="P23" s="234"/>
      <x:c r="Q23" s="234"/>
      <x:c r="R23" s="234"/>
      <x:c r="S23" s="234"/>
      <x:c r="T23" s="234"/>
      <x:c r="U23" s="234"/>
      <x:c r="V23" s="234"/>
      <x:c r="W23" s="234"/>
      <x:c r="X23" s="234"/>
      <x:c r="Y23" s="234"/>
      <x:c r="Z23" s="234"/>
    </x:row>
    <x:row r="24">
      <x:c r="A24" s="235" t="str">
        <x:v>D&amp;A</x:v>
      </x:c>
      <x:c r="B24" s="235" t="str">
        <x:v>€bn</x:v>
      </x:c>
      <x:c r="C24" s="248" t="n">
        <x:f>C19*C23</x:f>
        <x:v>1.640547</x:v>
      </x:c>
      <x:c r="D24" s="296" t="n">
        <x:f>D19*D23</x:f>
        <x:v>1.70616888</x:v>
      </x:c>
      <x:c r="E24" s="296" t="n">
        <x:f>E19*E23</x:f>
        <x:v>1.7744156352000002</x:v>
      </x:c>
      <x:c r="F24" s="296" t="n">
        <x:f>F19*F23</x:f>
        <x:v>1.8418434293376005</x:v>
      </x:c>
      <x:c r="G24" s="296" t="n">
        <x:f>G19*G23</x:f>
        <x:v>1.9063079493644164</x:v>
      </x:c>
      <x:c r="H24" s="296" t="n">
        <x:f>H19*H23</x:f>
        <x:v>1.9730287275921707</x:v>
      </x:c>
      <x:c r="I24" s="235"/>
      <x:c r="J24" s="235"/>
      <x:c r="K24" s="235"/>
      <x:c r="L24" s="235"/>
      <x:c r="M24" s="234"/>
      <x:c r="N24" s="234"/>
      <x:c r="O24" s="234"/>
      <x:c r="P24" s="234"/>
      <x:c r="Q24" s="234"/>
      <x:c r="R24" s="234"/>
      <x:c r="S24" s="234"/>
      <x:c r="T24" s="234"/>
      <x:c r="U24" s="234"/>
      <x:c r="V24" s="234"/>
      <x:c r="W24" s="234"/>
      <x:c r="X24" s="234"/>
      <x:c r="Y24" s="234"/>
      <x:c r="Z24" s="234"/>
    </x:row>
    <x:row r="25">
      <x:c r="A25" s="235" t="str">
        <x:v>Net capex / turnover</x:v>
      </x:c>
      <x:c r="B25" s="235" t="str">
        <x:v>%</x:v>
      </x:c>
      <x:c r="C25" s="235"/>
      <x:c r="D25" s="294" t="n">
        <x:v>0.032</x:v>
      </x:c>
      <x:c r="E25" s="294" t="n">
        <x:v>0.0315</x:v>
      </x:c>
      <x:c r="F25" s="294" t="n">
        <x:v>0.031</x:v>
      </x:c>
      <x:c r="G25" s="294" t="n">
        <x:v>0.0305</x:v>
      </x:c>
      <x:c r="H25" s="294" t="n">
        <x:v>0.03</x:v>
      </x:c>
      <x:c r="I25" s="235"/>
      <x:c r="J25" s="235"/>
      <x:c r="K25" s="235"/>
      <x:c r="L25" s="235"/>
      <x:c r="M25" s="234"/>
      <x:c r="N25" s="234"/>
      <x:c r="O25" s="234"/>
      <x:c r="P25" s="234"/>
      <x:c r="Q25" s="234"/>
      <x:c r="R25" s="234"/>
      <x:c r="S25" s="234"/>
      <x:c r="T25" s="234"/>
      <x:c r="U25" s="234"/>
      <x:c r="V25" s="234"/>
      <x:c r="W25" s="234"/>
      <x:c r="X25" s="234"/>
      <x:c r="Y25" s="234"/>
      <x:c r="Z25" s="234"/>
    </x:row>
    <x:row r="26">
      <x:c r="A26" s="235" t="str">
        <x:v>Net capex</x:v>
      </x:c>
      <x:c r="B26" s="235" t="str">
        <x:v>€bn</x:v>
      </x:c>
      <x:c r="C26" s="248" t="n">
        <x:v>1.934</x:v>
      </x:c>
      <x:c r="D26" s="248" t="n">
        <x:f>D19*D25</x:f>
        <x:v>2.0221260800000005</x:v>
      </x:c>
      <x:c r="E26" s="248" t="n">
        <x:f>E19*E25</x:f>
        <x:v>2.0701515744000005</x:v>
      </x:c>
      <x:c r="F26" s="248" t="n">
        <x:f>F19*F25</x:f>
        <x:v>2.1147091225728003</x:v>
      </x:c>
      <x:c r="G26" s="248" t="n">
        <x:f>G19*G25</x:f>
        <x:v>2.153421942800544</x:v>
      </x:c>
      <x:c r="H26" s="248" t="n">
        <x:f>H19*H25</x:f>
        <x:v>2.1922541417690784</x:v>
      </x:c>
      <x:c r="I26" s="235"/>
      <x:c r="J26" s="235"/>
      <x:c r="K26" s="235"/>
      <x:c r="L26" s="235"/>
      <x:c r="M26" s="234"/>
      <x:c r="N26" s="234"/>
      <x:c r="O26" s="234"/>
      <x:c r="P26" s="234"/>
      <x:c r="Q26" s="234"/>
      <x:c r="R26" s="234"/>
      <x:c r="S26" s="234"/>
      <x:c r="T26" s="234"/>
      <x:c r="U26" s="234"/>
      <x:c r="V26" s="234"/>
      <x:c r="W26" s="234"/>
      <x:c r="X26" s="234"/>
      <x:c r="Y26" s="234"/>
      <x:c r="Z26" s="234"/>
    </x:row>
    <x:row r="27">
      <x:c r="A27" s="235" t="str">
        <x:v>Change in NWC</x:v>
      </x:c>
      <x:c r="B27" s="235" t="str">
        <x:v>€bn</x:v>
      </x:c>
      <x:c r="C27" s="248"/>
      <x:c r="D27" s="248" t="n">
        <x:f>(D19-C19)*$B$9</x:f>
        <x:v>0.12152200000000023</x:v>
      </x:c>
      <x:c r="E27" s="248" t="n">
        <x:f>(E19-D19)*$B$9</x:f>
        <x:v>0.12638288000000025</x:v>
      </x:c>
      <x:c r="F27" s="248" t="n">
        <x:f>(F19-E19)*$B$9</x:f>
        <x:v>0.12486628544000028</x:v>
      </x:c>
      <x:c r="G27" s="248" t="n">
        <x:f>(G19-F19)*$B$9</x:f>
        <x:v>0.11937874079039973</x:v>
      </x:c>
      <x:c r="H27" s="248" t="n">
        <x:f>(H19-G19)*$B$9</x:f>
        <x:v>0.12355699671806378</x:v>
      </x:c>
      <x:c r="I27" s="235"/>
      <x:c r="J27" s="235"/>
      <x:c r="K27" s="235"/>
      <x:c r="L27" s="235"/>
      <x:c r="M27" s="234"/>
      <x:c r="N27" s="234"/>
      <x:c r="O27" s="234"/>
      <x:c r="P27" s="234"/>
      <x:c r="Q27" s="234"/>
      <x:c r="R27" s="234"/>
      <x:c r="S27" s="234"/>
      <x:c r="T27" s="234"/>
      <x:c r="U27" s="234"/>
      <x:c r="V27" s="234"/>
      <x:c r="W27" s="234"/>
      <x:c r="X27" s="234"/>
      <x:c r="Y27" s="234"/>
      <x:c r="Z27" s="234"/>
    </x:row>
    <x:row r="28">
      <x:c r="A28" s="235" t="str">
        <x:v>FCFF</x:v>
      </x:c>
      <x:c r="B28" s="235" t="str">
        <x:v>€bn</x:v>
      </x:c>
      <x:c r="C28" s="248"/>
      <x:c r="D28" s="248" t="n">
        <x:f>D22+D24-D26-D27</x:f>
        <x:v>8.388785182000001</x:v>
      </x:c>
      <x:c r="E28" s="248" t="n">
        <x:f>E22+E24-E26-E27</x:f>
        <x:v>8.906049894144003</x:v>
      </x:c>
      <x:c r="F28" s="248" t="n">
        <x:f>F22+F24-F26-F27</x:f>
        <x:v>9.387913944972166</x:v>
      </x:c>
      <x:c r="G28" s="248" t="n">
        <x:f>G22+G24-G26-G27</x:f>
        <x:v>9.86826283391665</x:v>
      </x:c>
      <x:c r="H28" s="248" t="n">
        <x:f>H22+H24-H26-H27</x:f>
        <x:v>10.250189602133217</x:v>
      </x:c>
      <x:c r="I28" s="235"/>
      <x:c r="J28" s="235"/>
      <x:c r="K28" s="235"/>
      <x:c r="L28" s="235"/>
      <x:c r="M28" s="234"/>
      <x:c r="N28" s="234"/>
      <x:c r="O28" s="234"/>
      <x:c r="P28" s="234"/>
      <x:c r="Q28" s="234"/>
      <x:c r="R28" s="234"/>
      <x:c r="S28" s="234"/>
      <x:c r="T28" s="234"/>
      <x:c r="U28" s="234"/>
      <x:c r="V28" s="234"/>
      <x:c r="W28" s="234"/>
      <x:c r="X28" s="234"/>
      <x:c r="Y28" s="234"/>
      <x:c r="Z28" s="234"/>
    </x:row>
    <x:row r="29">
      <x:c r="A29" s="235" t="str">
        <x:v>Discount factor</x:v>
      </x:c>
      <x:c r="B29" s="235" t="str">
        <x:v>x</x:v>
      </x:c>
      <x:c r="C29" s="235"/>
      <x:c r="D29" s="297" t="n">
        <x:f>1/(1+$B$10)^1</x:f>
        <x:v>0.9345794392523364</x:v>
      </x:c>
      <x:c r="E29" s="297" t="n">
        <x:f>1/(1+$B$10)^2</x:f>
        <x:v>0.8734387282732116</x:v>
      </x:c>
      <x:c r="F29" s="297" t="n">
        <x:f>1/(1+$B$10)^3</x:f>
        <x:v>0.8162978768908519</x:v>
      </x:c>
      <x:c r="G29" s="297" t="n">
        <x:f>1/(1+$B$10)^4</x:f>
        <x:v>0.7628952120475251</x:v>
      </x:c>
      <x:c r="H29" s="297" t="n">
        <x:f>1/(1+$B$10)^5</x:f>
        <x:v>0.7129861794836683</x:v>
      </x:c>
      <x:c r="I29" s="235"/>
      <x:c r="J29" s="235"/>
      <x:c r="K29" s="235"/>
      <x:c r="L29" s="235"/>
      <x:c r="M29" s="234"/>
      <x:c r="N29" s="234"/>
      <x:c r="O29" s="234"/>
      <x:c r="P29" s="234"/>
      <x:c r="Q29" s="234"/>
      <x:c r="R29" s="234"/>
      <x:c r="S29" s="234"/>
      <x:c r="T29" s="234"/>
      <x:c r="U29" s="234"/>
      <x:c r="V29" s="234"/>
      <x:c r="W29" s="234"/>
      <x:c r="X29" s="234"/>
      <x:c r="Y29" s="234"/>
      <x:c r="Z29" s="234"/>
    </x:row>
    <x:row r="30">
      <x:c r="A30" s="235"/>
      <x:c r="B30" s="235"/>
      <x:c r="C30" s="235"/>
      <x:c r="D30" s="235"/>
      <x:c r="E30" s="235"/>
      <x:c r="F30" s="235"/>
      <x:c r="G30" s="235"/>
      <x:c r="H30" s="235"/>
      <x:c r="I30" s="235"/>
      <x:c r="J30" s="235"/>
      <x:c r="K30" s="235"/>
      <x:c r="L30" s="235"/>
      <x:c r="M30" s="234"/>
      <x:c r="N30" s="234"/>
      <x:c r="O30" s="234"/>
      <x:c r="P30" s="234"/>
      <x:c r="Q30" s="234"/>
      <x:c r="R30" s="234"/>
      <x:c r="S30" s="234"/>
      <x:c r="T30" s="234"/>
      <x:c r="U30" s="234"/>
      <x:c r="V30" s="234"/>
      <x:c r="W30" s="234"/>
      <x:c r="X30" s="234"/>
      <x:c r="Y30" s="234"/>
      <x:c r="Z30" s="234"/>
    </x:row>
    <x:row r="31" ht="21" customHeight="1">
      <x:c r="A31" s="58" t="str">
        <x:v>Valuation Output</x:v>
      </x:c>
      <x:c r="B31" s="58" t="str">
        <x:v>Valuation Output</x:v>
      </x:c>
      <x:c r="C31" s="58" t="str">
        <x:v>Valuation Output</x:v>
      </x:c>
      <x:c r="D31" s="58" t="str">
        <x:v>Valuation Output</x:v>
      </x:c>
      <x:c r="E31" s="235"/>
      <x:c r="F31" s="58" t="str">
        <x:v>DCF Sensitivity | Value per Share (€)</x:v>
      </x:c>
      <x:c r="G31" s="58" t="str">
        <x:v>DCF Sensitivity | Value per Share (€)</x:v>
      </x:c>
      <x:c r="H31" s="58" t="str">
        <x:v>DCF Sensitivity | Value per Share (€)</x:v>
      </x:c>
      <x:c r="I31" s="58" t="str">
        <x:v>DCF Sensitivity | Value per Share (€)</x:v>
      </x:c>
      <x:c r="J31" s="58" t="str">
        <x:v>DCF Sensitivity | Value per Share (€)</x:v>
      </x:c>
      <x:c r="K31" s="58" t="str">
        <x:v>DCF Sensitivity | Value per Share (€)</x:v>
      </x:c>
      <x:c r="L31" s="58" t="str">
        <x:v>DCF Sensitivity | Value per Share (€)</x:v>
      </x:c>
      <x:c r="M31" s="234"/>
      <x:c r="N31" s="234"/>
      <x:c r="O31" s="234"/>
      <x:c r="P31" s="234"/>
      <x:c r="Q31" s="234"/>
      <x:c r="R31" s="234"/>
      <x:c r="S31" s="234"/>
      <x:c r="T31" s="234"/>
      <x:c r="U31" s="234"/>
      <x:c r="V31" s="234"/>
      <x:c r="W31" s="234"/>
      <x:c r="X31" s="234"/>
      <x:c r="Y31" s="234"/>
      <x:c r="Z31" s="234"/>
    </x:row>
    <x:row r="32">
      <x:c r="A32" s="28" t="str">
        <x:v>Metric</x:v>
      </x:c>
      <x:c r="B32" s="28" t="str">
        <x:v>Value</x:v>
      </x:c>
      <x:c r="C32" s="28" t="str">
        <x:v>Units</x:v>
      </x:c>
      <x:c r="D32" s="28" t="str">
        <x:v>Formula</x:v>
      </x:c>
      <x:c r="E32" s="235"/>
      <x:c r="F32" s="28" t="str">
        <x:v>Terminal growth / WACC</x:v>
      </x:c>
      <x:c r="G32" s="358" t="n">
        <x:f>$B$10-0.01</x:f>
        <x:v>0.060000000000000005</x:v>
      </x:c>
      <x:c r="H32" s="358" t="n">
        <x:f>$B$10-0.005</x:f>
        <x:v>0.065</x:v>
      </x:c>
      <x:c r="I32" s="358" t="n">
        <x:f>$B$10</x:f>
        <x:v>0.07</x:v>
      </x:c>
      <x:c r="J32" s="358" t="n">
        <x:f>$B$10+0.005</x:f>
        <x:v>0.07500000000000001</x:v>
      </x:c>
      <x:c r="K32" s="358" t="n">
        <x:f>$B$10+0.01</x:f>
        <x:v>0.08</x:v>
      </x:c>
      <x:c r="L32" s="235"/>
      <x:c r="M32" s="234"/>
      <x:c r="N32" s="234"/>
      <x:c r="O32" s="234"/>
      <x:c r="P32" s="234"/>
      <x:c r="Q32" s="234"/>
      <x:c r="R32" s="234"/>
      <x:c r="S32" s="234"/>
      <x:c r="T32" s="234"/>
      <x:c r="U32" s="234"/>
      <x:c r="V32" s="234"/>
      <x:c r="W32" s="234"/>
      <x:c r="X32" s="234"/>
      <x:c r="Y32" s="234"/>
      <x:c r="Z32" s="234"/>
    </x:row>
    <x:row r="33">
      <x:c r="A33" s="235" t="str">
        <x:v>PV of explicit FCFF</x:v>
      </x:c>
      <x:c r="B33" s="248" t="n">
        <x:f>SUMPRODUCT(D28:H28,D29:H29)</x:f>
        <x:v>38.11890325722532</x:v>
      </x:c>
      <x:c r="C33" s="235"/>
      <x:c r="D33" s="235"/>
      <x:c r="E33" s="235"/>
      <x:c r="F33" s="365" t="n">
        <x:f>$B$11-0.01</x:f>
        <x:v>0.01</x:v>
      </x:c>
      <x:c r="G33" s="366" t="n">
        <x:f>IF(G$32&gt;$F33,($D$28/(1+G$32)^1+$E$28/(1+G$32)^2+$F$28/(1+G$32)^3+$G$28/(1+G$32)^4+$H$28/(1+G$32)^5+($H$28*(1+$F33)/(G$32-$F33))/(1+G$32)^5-$B$12-$B$13)/$B$14,NA())</x:f>
        <x:v>66.5459565376736</x:v>
      </x:c>
      <x:c r="H33" s="366" t="n">
        <x:f>IF(H$32&gt;$F33,($D$28/(1+H$32)^1+$E$28/(1+H$32)^2+$F$28/(1+H$32)^3+$G$28/(1+H$32)^4+$H$28/(1+H$32)^5+($H$28*(1+$F33)/(H$32-$F33))/(1+H$32)^5-$B$12-$B$13)/$B$14,NA())</x:f>
        <x:v>59.4132413085321</x:v>
      </x:c>
      <x:c r="I33" s="366" t="n">
        <x:f>IF(I$32&gt;$F33,($D$28/(1+I$32)^1+$E$28/(1+I$32)^2+$F$28/(1+I$32)^3+$G$28/(1+I$32)^4+$H$28/(1+I$32)^5+($H$28*(1+$F33)/(I$32-$F33))/(1+I$32)^5-$B$12-$B$13)/$B$14,NA())</x:f>
        <x:v>53.470943547496994</x:v>
      </x:c>
      <x:c r="J33" s="366" t="n">
        <x:f>IF(J$32&gt;$F33,($D$28/(1+J$32)^1+$E$28/(1+J$32)^2+$F$28/(1+J$32)^3+$G$28/(1+J$32)^4+$H$28/(1+J$32)^5+($H$28*(1+$F33)/(J$32-$F33))/(1+J$32)^5-$B$12-$B$13)/$B$14,NA())</x:f>
        <x:v>48.44431625083229</x:v>
      </x:c>
      <x:c r="K33" s="366" t="n">
        <x:f>IF(K$32&gt;$F33,($D$28/(1+K$32)^1+$E$28/(1+K$32)^2+$F$28/(1+K$32)^3+$G$28/(1+K$32)^4+$H$28/(1+K$32)^5+($H$28*(1+$F33)/(K$32-$F33))/(1+K$32)^5-$B$12-$B$13)/$B$14,NA())</x:f>
        <x:v>44.13711249891883</x:v>
      </x:c>
      <x:c r="L33" s="235"/>
      <x:c r="M33" s="234"/>
      <x:c r="N33" s="234"/>
      <x:c r="O33" s="234"/>
      <x:c r="P33" s="234"/>
      <x:c r="Q33" s="234"/>
      <x:c r="R33" s="234"/>
      <x:c r="S33" s="234"/>
      <x:c r="T33" s="234"/>
      <x:c r="U33" s="234"/>
      <x:c r="V33" s="234"/>
      <x:c r="W33" s="234"/>
      <x:c r="X33" s="234"/>
      <x:c r="Y33" s="234"/>
      <x:c r="Z33" s="234"/>
    </x:row>
    <x:row r="34">
      <x:c r="A34" s="235" t="str">
        <x:v>Terminal value</x:v>
      </x:c>
      <x:c r="B34" s="362" t="n">
        <x:f>IF(B10&gt;B11,H28*(1+B11)/(B10-B11),NA())</x:f>
        <x:v>209.1038678835176</x:v>
      </x:c>
      <x:c r="C34" s="235"/>
      <x:c r="D34" s="235"/>
      <x:c r="E34" s="235"/>
      <x:c r="F34" s="365" t="n">
        <x:f>$B$11-0.005</x:f>
        <x:v>0.015</x:v>
      </x:c>
      <x:c r="G34" s="366" t="n">
        <x:f>IF(G$32&gt;$F34,($D$28/(1+G$32)^1+$E$28/(1+G$32)^2+$F$28/(1+G$32)^3+$G$28/(1+G$32)^4+$H$28/(1+G$32)^5+($H$28*(1+$F34)/(G$32-$F34))/(1+G$32)^5-$B$12-$B$13)/$B$14,NA())</x:f>
        <x:v>73.74250521129646</x:v>
      </x:c>
      <x:c r="H34" s="366" t="n">
        <x:f>IF(H$32&gt;$F34,($D$28/(1+H$32)^1+$E$28/(1+H$32)^2+$F$28/(1+H$32)^3+$G$28/(1+H$32)^4+$H$28/(1+H$32)^5+($H$28*(1+$F34)/(H$32-$F34))/(1+H$32)^5-$B$12-$B$13)/$B$14,NA())</x:f>
        <x:v>65.19152847391919</x:v>
      </x:c>
      <x:c r="I34" s="366" t="n">
        <x:f>IF(I$32&gt;$F34,($D$28/(1+I$32)^1+$E$28/(1+I$32)^2+$F$28/(1+I$32)^3+$G$28/(1+I$32)^4+$H$28/(1+I$32)^5+($H$28*(1+$F34)/(I$32-$F34))/(1+I$32)^5-$B$12-$B$13)/$B$14,NA())</x:f>
        <x:v>58.196807288440446</x:v>
      </x:c>
      <x:c r="J34" s="366" t="n">
        <x:f>IF(J$32&gt;$F34,($D$28/(1+J$32)^1+$E$28/(1+J$32)^2+$F$28/(1+J$32)^3+$G$28/(1+J$32)^4+$H$28/(1+J$32)^5+($H$28*(1+$F34)/(J$32-$F34))/(1+J$32)^5-$B$12-$B$13)/$B$14,NA())</x:f>
        <x:v>52.369245045049354</x:v>
      </x:c>
      <x:c r="K34" s="366" t="n">
        <x:f>IF(K$32&gt;$F34,($D$28/(1+K$32)^1+$E$28/(1+K$32)^2+$F$28/(1+K$32)^3+$G$28/(1+K$32)^4+$H$28/(1+K$32)^5+($H$28*(1+$F34)/(K$32-$F34))/(1+K$32)^5-$B$12-$B$13)/$B$14,NA())</x:f>
        <x:v>47.43946803091859</x:v>
      </x:c>
      <x:c r="L34" s="235"/>
      <x:c r="M34" s="234"/>
      <x:c r="N34" s="234"/>
      <x:c r="O34" s="234"/>
      <x:c r="P34" s="234"/>
      <x:c r="Q34" s="234"/>
      <x:c r="R34" s="234"/>
      <x:c r="S34" s="234"/>
      <x:c r="T34" s="234"/>
      <x:c r="U34" s="234"/>
      <x:c r="V34" s="234"/>
      <x:c r="W34" s="234"/>
      <x:c r="X34" s="234"/>
      <x:c r="Y34" s="234"/>
      <x:c r="Z34" s="234"/>
    </x:row>
    <x:row r="35">
      <x:c r="A35" s="235" t="str">
        <x:v>PV of terminal value</x:v>
      </x:c>
      <x:c r="B35" s="248" t="n">
        <x:f>B34*H29</x:f>
        <x:v>149.08816787752696</x:v>
      </x:c>
      <x:c r="C35" s="235"/>
      <x:c r="D35" s="235"/>
      <x:c r="E35" s="235"/>
      <x:c r="F35" s="365" t="n">
        <x:f>$B$11</x:f>
        <x:v>0.02</x:v>
      </x:c>
      <x:c r="G35" s="366" t="n">
        <x:f>IF(G$32&gt;$F35,($D$28/(1+G$32)^1+$E$28/(1+G$32)^2+$F$28/(1+G$32)^3+$G$28/(1+G$32)^4+$H$28/(1+G$32)^5+($H$28*(1+$F35)/(G$32-$F35))/(1+G$32)^5-$B$12-$B$13)/$B$14,NA())</x:f>
        <x:v>82.73819105332505</x:v>
      </x:c>
      <x:c r="H35" s="366" t="n">
        <x:f>IF(H$32&gt;$F35,($D$28/(1+H$32)^1+$E$28/(1+H$32)^2+$F$28/(1+H$32)^3+$G$28/(1+H$32)^4+$H$28/(1+H$32)^5+($H$28*(1+$F35)/(H$32-$F35))/(1+H$32)^5-$B$12-$B$13)/$B$14,NA())</x:f>
        <x:v>72.25387945383679</x:v>
      </x:c>
      <x:c r="I35" s="366" t="n">
        <x:f>IF(I$32&gt;$F35,($D$28/(1+I$32)^1+$E$28/(1+I$32)^2+$F$28/(1+I$32)^3+$G$28/(1+I$32)^4+$H$28/(1+I$32)^5+($H$28*(1+$F35)/(I$32-$F35))/(1+I$32)^5-$B$12-$B$13)/$B$14,NA())</x:f>
        <x:v>63.867843777572595</x:v>
      </x:c>
      <x:c r="J35" s="366" t="n">
        <x:f>IF(J$32&gt;$F35,($D$28/(1+J$32)^1+$E$28/(1+J$32)^2+$F$28/(1+J$32)^3+$G$28/(1+J$32)^4+$H$28/(1+J$32)^5+($H$28*(1+$F35)/(J$32-$F35))/(1+J$32)^5-$B$12-$B$13)/$B$14,NA())</x:f>
        <x:v>57.007797256396785</x:v>
      </x:c>
      <x:c r="K35" s="366" t="n">
        <x:f>IF(K$32&gt;$F35,($D$28/(1+K$32)^1+$E$28/(1+K$32)^2+$F$28/(1+K$32)^3+$G$28/(1+K$32)^4+$H$28/(1+K$32)^5+($H$28*(1+$F35)/(K$32-$F35))/(1+K$32)^5-$B$12-$B$13)/$B$14,NA())</x:f>
        <x:v>51.29221615158498</x:v>
      </x:c>
      <x:c r="L35" s="235"/>
      <x:c r="M35" s="234"/>
      <x:c r="N35" s="234"/>
      <x:c r="O35" s="234"/>
      <x:c r="P35" s="234"/>
      <x:c r="Q35" s="234"/>
      <x:c r="R35" s="234"/>
      <x:c r="S35" s="234"/>
      <x:c r="T35" s="234"/>
      <x:c r="U35" s="234"/>
      <x:c r="V35" s="234"/>
      <x:c r="W35" s="234"/>
      <x:c r="X35" s="234"/>
      <x:c r="Y35" s="234"/>
      <x:c r="Z35" s="234"/>
    </x:row>
    <x:row r="36">
      <x:c r="A36" s="285" t="str">
        <x:v>Enterprise value</x:v>
      </x:c>
      <x:c r="B36" s="298" t="n">
        <x:f>SUM(B33,B35)</x:f>
        <x:v>187.20707113475228</x:v>
      </x:c>
      <x:c r="C36" s="235"/>
      <x:c r="D36" s="235"/>
      <x:c r="E36" s="235"/>
      <x:c r="F36" s="365" t="n">
        <x:f>$B$11+0.005</x:f>
        <x:v>0.025</x:v>
      </x:c>
      <x:c r="G36" s="366" t="n">
        <x:f>IF(G$32&gt;$F36,($D$28/(1+G$32)^1+$E$28/(1+G$32)^2+$F$28/(1+G$32)^3+$G$28/(1+G$32)^4+$H$28/(1+G$32)^5+($H$28*(1+$F36)/(G$32-$F36))/(1+G$32)^5-$B$12-$B$13)/$B$14,NA())</x:f>
        <x:v>94.304072850219</x:v>
      </x:c>
      <x:c r="H36" s="366" t="n">
        <x:f>IF(H$32&gt;$F36,($D$28/(1+H$32)^1+$E$28/(1+H$32)^2+$F$28/(1+H$32)^3+$G$28/(1+H$32)^4+$H$28/(1+H$32)^5+($H$28*(1+$F36)/(H$32-$F36))/(1+H$32)^5-$B$12-$B$13)/$B$14,NA())</x:f>
        <x:v>81.08181817873374</x:v>
      </x:c>
      <x:c r="I36" s="366" t="n">
        <x:f>IF(I$32&gt;$F36,($D$28/(1+I$32)^1+$E$28/(1+I$32)^2+$F$28/(1+I$32)^3+$G$28/(1+I$32)^4+$H$28/(1+I$32)^5+($H$28*(1+$F36)/(I$32-$F36))/(1+I$32)^5-$B$12-$B$13)/$B$14,NA())</x:f>
        <x:v>70.79911059762298</x:v>
      </x:c>
      <x:c r="J36" s="366" t="n">
        <x:f>IF(J$32&gt;$F36,($D$28/(1+J$32)^1+$E$28/(1+J$32)^2+$F$28/(1+J$32)^3+$G$28/(1+J$32)^4+$H$28/(1+J$32)^5+($H$28*(1+$F36)/(J$32-$F36))/(1+J$32)^5-$B$12-$B$13)/$B$14,NA())</x:f>
        <x:v>62.5740599100137</x:v>
      </x:c>
      <x:c r="K36" s="366" t="n">
        <x:f>IF(K$32&gt;$F36,($D$28/(1+K$32)^1+$E$28/(1+K$32)^2+$F$28/(1+K$32)^3+$G$28/(1+K$32)^4+$H$28/(1+K$32)^5+($H$28*(1+$F36)/(K$32-$F36))/(1+K$32)^5-$B$12-$B$13)/$B$14,NA())</x:f>
        <x:v>55.84546393055435</x:v>
      </x:c>
      <x:c r="L36" s="235"/>
      <x:c r="M36" s="234"/>
      <x:c r="N36" s="234"/>
      <x:c r="O36" s="234"/>
      <x:c r="P36" s="234"/>
      <x:c r="Q36" s="234"/>
      <x:c r="R36" s="234"/>
      <x:c r="S36" s="234"/>
      <x:c r="T36" s="234"/>
      <x:c r="U36" s="234"/>
      <x:c r="V36" s="234"/>
      <x:c r="W36" s="234"/>
      <x:c r="X36" s="234"/>
      <x:c r="Y36" s="234"/>
      <x:c r="Z36" s="234"/>
    </x:row>
    <x:row r="37">
      <x:c r="A37" s="235" t="str">
        <x:v>Less: net debt</x:v>
      </x:c>
      <x:c r="B37" s="248" t="n">
        <x:f>-$B$12</x:f>
        <x:v>-24.519</x:v>
      </x:c>
      <x:c r="C37" s="235"/>
      <x:c r="D37" s="235"/>
      <x:c r="E37" s="235"/>
      <x:c r="F37" s="365" t="n">
        <x:f>$B$11+0.01</x:f>
        <x:v>0.03</x:v>
      </x:c>
      <x:c r="G37" s="366" t="n">
        <x:f>IF(G$32&gt;$F37,($D$28/(1+G$32)^1+$E$28/(1+G$32)^2+$F$28/(1+G$32)^3+$G$28/(1+G$32)^4+$H$28/(1+G$32)^5+($H$28*(1+$F37)/(G$32-$F37))/(1+G$32)^5-$B$12-$B$13)/$B$14,NA())</x:f>
        <x:v>109.72524857941086</x:v>
      </x:c>
      <x:c r="H37" s="366" t="n">
        <x:f>IF(H$32&gt;$F37,($D$28/(1+H$32)^1+$E$28/(1+H$32)^2+$F$28/(1+H$32)^3+$G$28/(1+H$32)^4+$H$28/(1+H$32)^5+($H$28*(1+$F37)/(H$32-$F37))/(1+H$32)^5-$B$12-$B$13)/$B$14,NA())</x:f>
        <x:v>92.43202511074412</x:v>
      </x:c>
      <x:c r="I37" s="366" t="n">
        <x:f>IF(I$32&gt;$F37,($D$28/(1+I$32)^1+$E$28/(1+I$32)^2+$F$28/(1+I$32)^3+$G$28/(1+I$32)^4+$H$28/(1+I$32)^5+($H$28*(1+$F37)/(I$32-$F37))/(1+I$32)^5-$B$12-$B$13)/$B$14,NA())</x:f>
        <x:v>79.46319412268598</x:v>
      </x:c>
      <x:c r="J37" s="366" t="n">
        <x:f>IF(J$32&gt;$F37,($D$28/(1+J$32)^1+$E$28/(1+J$32)^2+$F$28/(1+J$32)^3+$G$28/(1+J$32)^4+$H$28/(1+J$32)^5+($H$28*(1+$F37)/(J$32-$F37))/(1+J$32)^5-$B$12-$B$13)/$B$14,NA())</x:f>
        <x:v>69.37726981998995</x:v>
      </x:c>
      <x:c r="K37" s="366" t="n">
        <x:f>IF(K$32&gt;$F37,($D$28/(1+K$32)^1+$E$28/(1+K$32)^2+$F$28/(1+K$32)^3+$G$28/(1+K$32)^4+$H$28/(1+K$32)^5+($H$28*(1+$F37)/(K$32-$F37))/(1+K$32)^5-$B$12-$B$13)/$B$14,NA())</x:f>
        <x:v>61.3093612653176</x:v>
      </x:c>
      <x:c r="L37" s="235"/>
      <x:c r="M37" s="234"/>
      <x:c r="N37" s="234"/>
      <x:c r="O37" s="234"/>
      <x:c r="P37" s="234"/>
      <x:c r="Q37" s="234"/>
      <x:c r="R37" s="234"/>
      <x:c r="S37" s="234"/>
      <x:c r="T37" s="234"/>
      <x:c r="U37" s="234"/>
      <x:c r="V37" s="234"/>
      <x:c r="W37" s="234"/>
      <x:c r="X37" s="234"/>
      <x:c r="Y37" s="234"/>
      <x:c r="Z37" s="234"/>
    </x:row>
    <x:row r="38">
      <x:c r="A38" s="235" t="str">
        <x:v>Less: NCI</x:v>
      </x:c>
      <x:c r="B38" s="248" t="n">
        <x:f>-$B$13</x:f>
        <x:v>-2.565</x:v>
      </x:c>
      <x:c r="C38" s="235"/>
      <x:c r="D38" s="235"/>
      <x:c r="E38" s="235"/>
      <x:c r="F38" s="235"/>
      <x:c r="G38" s="235"/>
      <x:c r="H38" s="235"/>
      <x:c r="I38" s="235"/>
      <x:c r="J38" s="235"/>
      <x:c r="K38" s="235"/>
      <x:c r="L38" s="235"/>
      <x:c r="M38" s="234"/>
      <x:c r="N38" s="234"/>
      <x:c r="O38" s="234"/>
      <x:c r="P38" s="234"/>
      <x:c r="Q38" s="234"/>
      <x:c r="R38" s="234"/>
      <x:c r="S38" s="234"/>
      <x:c r="T38" s="234"/>
      <x:c r="U38" s="234"/>
      <x:c r="V38" s="234"/>
      <x:c r="W38" s="234"/>
      <x:c r="X38" s="234"/>
      <x:c r="Y38" s="234"/>
      <x:c r="Z38" s="234"/>
    </x:row>
    <x:row r="39">
      <x:c r="A39" s="285" t="str">
        <x:v>Equity value</x:v>
      </x:c>
      <x:c r="B39" s="298" t="n">
        <x:f>SUM(B36:B38)</x:f>
        <x:v>160.12307113475228</x:v>
      </x:c>
      <x:c r="C39" s="235"/>
      <x:c r="D39" s="235"/>
      <x:c r="E39" s="235"/>
      <x:c r="F39" s="235"/>
      <x:c r="G39" s="235"/>
      <x:c r="H39" s="235"/>
      <x:c r="I39" s="235"/>
      <x:c r="J39" s="235"/>
      <x:c r="K39" s="235"/>
      <x:c r="L39" s="235"/>
      <x:c r="M39" s="234"/>
      <x:c r="N39" s="234"/>
      <x:c r="O39" s="234"/>
      <x:c r="P39" s="234"/>
      <x:c r="Q39" s="234"/>
      <x:c r="R39" s="234"/>
      <x:c r="S39" s="234"/>
      <x:c r="T39" s="234"/>
      <x:c r="U39" s="234"/>
      <x:c r="V39" s="234"/>
      <x:c r="W39" s="234"/>
      <x:c r="X39" s="234"/>
      <x:c r="Y39" s="234"/>
      <x:c r="Z39" s="234"/>
    </x:row>
    <x:row r="40">
      <x:c r="A40" s="235" t="str">
        <x:v>Diluted shares</x:v>
      </x:c>
      <x:c r="B40" s="299" t="n">
        <x:f>$B$14</x:f>
        <x:v>2.5071</x:v>
      </x:c>
      <x:c r="C40" s="235"/>
      <x:c r="D40" s="235"/>
      <x:c r="E40" s="235"/>
      <x:c r="F40" s="235"/>
      <x:c r="G40" s="235"/>
      <x:c r="H40" s="235"/>
      <x:c r="I40" s="235"/>
      <x:c r="J40" s="235"/>
      <x:c r="K40" s="235"/>
      <x:c r="L40" s="235"/>
      <x:c r="M40" s="234"/>
      <x:c r="N40" s="234"/>
      <x:c r="O40" s="234"/>
      <x:c r="P40" s="234"/>
      <x:c r="Q40" s="234"/>
      <x:c r="R40" s="234"/>
      <x:c r="S40" s="234"/>
      <x:c r="T40" s="234"/>
      <x:c r="U40" s="234"/>
      <x:c r="V40" s="234"/>
      <x:c r="W40" s="234"/>
      <x:c r="X40" s="234"/>
      <x:c r="Y40" s="234"/>
      <x:c r="Z40" s="234"/>
    </x:row>
    <x:row r="41">
      <x:c r="A41" s="285" t="str">
        <x:v>DCF value / share</x:v>
      </x:c>
      <x:c r="B41" s="246" t="n">
        <x:f>B39/B40</x:f>
        <x:v>63.86784377757261</x:v>
      </x:c>
      <x:c r="C41" s="235"/>
      <x:c r="D41" s="235"/>
      <x:c r="E41" s="235"/>
      <x:c r="F41" s="235"/>
      <x:c r="G41" s="235"/>
      <x:c r="H41" s="235"/>
      <x:c r="I41" s="235"/>
      <x:c r="J41" s="235"/>
      <x:c r="K41" s="235"/>
      <x:c r="L41" s="235"/>
      <x:c r="M41" s="234"/>
      <x:c r="N41" s="234"/>
      <x:c r="O41" s="234"/>
      <x:c r="P41" s="234"/>
      <x:c r="Q41" s="234"/>
      <x:c r="R41" s="234"/>
      <x:c r="S41" s="234"/>
      <x:c r="T41" s="234"/>
      <x:c r="U41" s="234"/>
      <x:c r="V41" s="234"/>
      <x:c r="W41" s="234"/>
      <x:c r="X41" s="234"/>
      <x:c r="Y41" s="234"/>
      <x:c r="Z41" s="234"/>
    </x:row>
    <x:row r="42">
      <x:c r="A42" s="235"/>
      <x:c r="B42" s="235"/>
      <x:c r="C42" s="235"/>
      <x:c r="D42" s="235"/>
      <x:c r="E42" s="235"/>
      <x:c r="F42" s="235"/>
      <x:c r="G42" s="235"/>
      <x:c r="H42" s="235"/>
      <x:c r="I42" s="235"/>
      <x:c r="J42" s="235"/>
      <x:c r="K42" s="235"/>
      <x:c r="L42" s="235"/>
      <x:c r="M42" s="234"/>
      <x:c r="N42" s="234"/>
      <x:c r="O42" s="234"/>
      <x:c r="P42" s="234"/>
      <x:c r="Q42" s="234"/>
      <x:c r="R42" s="234"/>
      <x:c r="S42" s="234"/>
      <x:c r="T42" s="234"/>
      <x:c r="U42" s="234"/>
      <x:c r="V42" s="234"/>
      <x:c r="W42" s="234"/>
      <x:c r="X42" s="234"/>
      <x:c r="Y42" s="234"/>
      <x:c r="Z42" s="234"/>
    </x:row>
    <x:row r="43">
      <x:c r="A43" s="235"/>
      <x:c r="B43" s="235"/>
      <x:c r="C43" s="235"/>
      <x:c r="D43" s="235"/>
      <x:c r="E43" s="235"/>
      <x:c r="F43" s="235"/>
      <x:c r="G43" s="235"/>
      <x:c r="H43" s="235"/>
      <x:c r="I43" s="235"/>
      <x:c r="J43" s="235"/>
      <x:c r="K43" s="235"/>
      <x:c r="L43" s="235"/>
      <x:c r="M43" s="234"/>
      <x:c r="N43" s="234"/>
      <x:c r="O43" s="234"/>
      <x:c r="P43" s="234"/>
      <x:c r="Q43" s="234"/>
      <x:c r="R43" s="234"/>
      <x:c r="S43" s="234"/>
      <x:c r="T43" s="234"/>
      <x:c r="U43" s="234"/>
      <x:c r="V43" s="234"/>
      <x:c r="W43" s="234"/>
      <x:c r="X43" s="234"/>
      <x:c r="Y43" s="234"/>
      <x:c r="Z43" s="234"/>
    </x:row>
    <x:row r="44">
      <x:c r="A44" s="235" t="str">
        <x:v>Cost of capital | illustrative assumptions, not calibrated market estimates</x:v>
      </x:c>
      <x:c r="B44" s="235"/>
      <x:c r="C44" s="235"/>
      <x:c r="D44" s="235"/>
      <x:c r="E44" s="235"/>
      <x:c r="F44" s="235"/>
      <x:c r="G44" s="235"/>
      <x:c r="H44" s="235"/>
      <x:c r="I44" s="235"/>
      <x:c r="J44" s="235"/>
      <x:c r="K44" s="235"/>
      <x:c r="L44" s="235"/>
      <x:c r="M44" s="234"/>
      <x:c r="N44" s="234"/>
      <x:c r="O44" s="234"/>
      <x:c r="P44" s="234"/>
      <x:c r="Q44" s="234"/>
      <x:c r="R44" s="234"/>
      <x:c r="S44" s="234"/>
      <x:c r="T44" s="234"/>
      <x:c r="U44" s="234"/>
      <x:c r="V44" s="234"/>
      <x:c r="W44" s="234"/>
      <x:c r="X44" s="234"/>
      <x:c r="Y44" s="234"/>
      <x:c r="Z44" s="234"/>
    </x:row>
    <x:row r="45">
      <x:c r="A45" s="235" t="str">
        <x:v>Risk-free rate</x:v>
      </x:c>
      <x:c r="B45" s="354" t="n">
        <x:v>0.03</x:v>
      </x:c>
      <x:c r="C45" s="235"/>
      <x:c r="D45" s="235"/>
      <x:c r="E45" s="235"/>
      <x:c r="F45" s="235"/>
      <x:c r="G45" s="235"/>
      <x:c r="H45" s="235"/>
      <x:c r="I45" s="235"/>
      <x:c r="J45" s="235"/>
      <x:c r="K45" s="235"/>
      <x:c r="L45" s="235"/>
      <x:c r="M45" s="234"/>
      <x:c r="N45" s="234"/>
      <x:c r="O45" s="234"/>
      <x:c r="P45" s="234"/>
      <x:c r="Q45" s="234"/>
      <x:c r="R45" s="234"/>
      <x:c r="S45" s="234"/>
      <x:c r="T45" s="234"/>
      <x:c r="U45" s="234"/>
      <x:c r="V45" s="234"/>
      <x:c r="W45" s="234"/>
      <x:c r="X45" s="234"/>
      <x:c r="Y45" s="234"/>
      <x:c r="Z45" s="234"/>
    </x:row>
    <x:row r="46">
      <x:c r="A46" s="234" t="str">
        <x:v>Levered beta</x:v>
      </x:c>
      <x:c r="B46" s="355" t="n">
        <x:v>0.9</x:v>
      </x:c>
      <x:c r="C46" s="234"/>
      <x:c r="D46" s="234"/>
      <x:c r="E46" s="234"/>
      <x:c r="F46" s="234"/>
      <x:c r="G46" s="234"/>
      <x:c r="H46" s="234"/>
      <x:c r="I46" s="234"/>
      <x:c r="J46" s="234"/>
      <x:c r="K46" s="234"/>
      <x:c r="L46" s="234"/>
      <x:c r="M46" s="234"/>
      <x:c r="N46" s="234"/>
      <x:c r="O46" s="234"/>
      <x:c r="P46" s="234"/>
      <x:c r="Q46" s="234"/>
      <x:c r="R46" s="234"/>
      <x:c r="S46" s="234"/>
      <x:c r="T46" s="234"/>
      <x:c r="U46" s="234"/>
      <x:c r="V46" s="234"/>
      <x:c r="W46" s="234"/>
      <x:c r="X46" s="234"/>
      <x:c r="Y46" s="234"/>
      <x:c r="Z46" s="234"/>
    </x:row>
    <x:row r="47">
      <x:c r="A47" s="234" t="str">
        <x:v>Equity risk premium</x:v>
      </x:c>
      <x:c r="B47" s="356" t="n">
        <x:v>0.05</x:v>
      </x:c>
      <x:c r="C47" s="234"/>
      <x:c r="D47" s="234"/>
      <x:c r="E47" s="234"/>
      <x:c r="F47" s="234"/>
      <x:c r="G47" s="234"/>
      <x:c r="H47" s="234"/>
      <x:c r="I47" s="234"/>
      <x:c r="J47" s="234"/>
      <x:c r="K47" s="234"/>
      <x:c r="L47" s="234"/>
      <x:c r="M47" s="234"/>
      <x:c r="N47" s="234"/>
      <x:c r="O47" s="234"/>
      <x:c r="P47" s="234"/>
      <x:c r="Q47" s="234"/>
      <x:c r="R47" s="234"/>
      <x:c r="S47" s="234"/>
      <x:c r="T47" s="234"/>
      <x:c r="U47" s="234"/>
      <x:c r="V47" s="234"/>
      <x:c r="W47" s="234"/>
      <x:c r="X47" s="234"/>
      <x:c r="Y47" s="234"/>
      <x:c r="Z47" s="234"/>
    </x:row>
    <x:row r="48">
      <x:c r="A48" s="234" t="str">
        <x:v>Cost of equity</x:v>
      </x:c>
      <x:c r="B48" s="357" t="n">
        <x:f>IF(AND(COUNT(B45:B47)=3,MIN(B45:B47)&gt;=0),B45+B46*B47,NA())</x:f>
        <x:v>0.07500000000000001</x:v>
      </x:c>
      <x:c r="C48" s="234"/>
      <x:c r="D48" s="234"/>
      <x:c r="E48" s="234"/>
      <x:c r="F48" s="234"/>
      <x:c r="G48" s="234"/>
      <x:c r="H48" s="234"/>
      <x:c r="I48" s="234"/>
      <x:c r="J48" s="234"/>
      <x:c r="K48" s="234"/>
      <x:c r="L48" s="234"/>
      <x:c r="M48" s="234"/>
      <x:c r="N48" s="234"/>
      <x:c r="O48" s="234"/>
      <x:c r="P48" s="234"/>
      <x:c r="Q48" s="234"/>
      <x:c r="R48" s="234"/>
      <x:c r="S48" s="234"/>
      <x:c r="T48" s="234"/>
      <x:c r="U48" s="234"/>
      <x:c r="V48" s="234"/>
      <x:c r="W48" s="234"/>
      <x:c r="X48" s="234"/>
      <x:c r="Y48" s="234"/>
      <x:c r="Z48" s="234"/>
    </x:row>
    <x:row r="49">
      <x:c r="A49" s="234" t="str">
        <x:v>Pre-tax cost of debt</x:v>
      </x:c>
      <x:c r="B49" s="356" t="n">
        <x:v>0.04</x:v>
      </x:c>
      <x:c r="C49" s="234"/>
      <x:c r="D49" s="234"/>
      <x:c r="E49" s="234"/>
      <x:c r="F49" s="234"/>
      <x:c r="G49" s="234"/>
      <x:c r="H49" s="234"/>
      <x:c r="I49" s="234"/>
      <x:c r="J49" s="234"/>
      <x:c r="K49" s="234"/>
      <x:c r="L49" s="234"/>
      <x:c r="M49" s="234"/>
      <x:c r="N49" s="234"/>
      <x:c r="O49" s="234"/>
      <x:c r="P49" s="234"/>
      <x:c r="Q49" s="234"/>
      <x:c r="R49" s="234"/>
      <x:c r="S49" s="234"/>
      <x:c r="T49" s="234"/>
      <x:c r="U49" s="234"/>
      <x:c r="V49" s="234"/>
      <x:c r="W49" s="234"/>
      <x:c r="X49" s="234"/>
      <x:c r="Y49" s="234"/>
      <x:c r="Z49" s="234"/>
    </x:row>
    <x:row r="50">
      <x:c r="A50" s="234" t="str">
        <x:v>Debt weight</x:v>
      </x:c>
      <x:c r="B50" s="356" t="n">
        <x:v>0.2</x:v>
      </x:c>
      <x:c r="C50" s="234"/>
      <x:c r="D50" s="234"/>
      <x:c r="E50" s="234"/>
      <x:c r="F50" s="234"/>
      <x:c r="G50" s="234"/>
      <x:c r="H50" s="234"/>
      <x:c r="I50" s="234"/>
      <x:c r="J50" s="234"/>
      <x:c r="K50" s="234"/>
      <x:c r="L50" s="234"/>
      <x:c r="M50" s="234"/>
      <x:c r="N50" s="234"/>
      <x:c r="O50" s="234"/>
      <x:c r="P50" s="234"/>
      <x:c r="Q50" s="234"/>
      <x:c r="R50" s="234"/>
      <x:c r="S50" s="234"/>
      <x:c r="T50" s="234"/>
      <x:c r="U50" s="234"/>
      <x:c r="V50" s="234"/>
      <x:c r="W50" s="234"/>
      <x:c r="X50" s="234"/>
      <x:c r="Y50" s="234"/>
      <x:c r="Z50" s="234"/>
    </x:row>
    <x:row r="51">
      <x:c r="A51" s="234" t="str">
        <x:v>Calculated WACC</x:v>
      </x:c>
      <x:c r="B51" s="357" t="n">
        <x:f>IF(AND(ISNUMBER(B49),B49&gt;=0,ISNUMBER(B50),B50&gt;=0,B50&lt;=1,ISNUMBER(B7),B7&gt;=0,B7&lt;=1),B48*(1-B50)+B49*(1-B7)*B50,NA())</x:f>
        <x:v>0.06604000000000002</x:v>
      </x:c>
      <x:c r="C51" s="234"/>
      <x:c r="D51" s="234"/>
      <x:c r="E51" s="234"/>
      <x:c r="F51" s="234"/>
      <x:c r="G51" s="234"/>
      <x:c r="H51" s="234"/>
      <x:c r="I51" s="234"/>
      <x:c r="J51" s="234"/>
      <x:c r="K51" s="234"/>
      <x:c r="L51" s="234"/>
      <x:c r="M51" s="234"/>
      <x:c r="N51" s="234"/>
      <x:c r="O51" s="234"/>
      <x:c r="P51" s="234"/>
      <x:c r="Q51" s="234"/>
      <x:c r="R51" s="234"/>
      <x:c r="S51" s="234"/>
      <x:c r="T51" s="234"/>
      <x:c r="U51" s="234"/>
      <x:c r="V51" s="234"/>
      <x:c r="W51" s="234"/>
      <x:c r="X51" s="234"/>
      <x:c r="Y51" s="234"/>
      <x:c r="Z51" s="234"/>
    </x:row>
    <x:row r="52">
      <x:c r="A52" s="234" t="str">
        <x:v>Manual WACC</x:v>
      </x:c>
      <x:c r="B52" s="356" t="n">
        <x:v>0.07</x:v>
      </x:c>
      <x:c r="C52" s="234"/>
      <x:c r="D52" s="234"/>
      <x:c r="E52" s="234"/>
      <x:c r="F52" s="234"/>
      <x:c r="G52" s="234"/>
      <x:c r="H52" s="234"/>
      <x:c r="I52" s="234"/>
      <x:c r="J52" s="234"/>
      <x:c r="K52" s="234"/>
      <x:c r="L52" s="234"/>
      <x:c r="M52" s="234"/>
      <x:c r="N52" s="234"/>
      <x:c r="O52" s="234"/>
      <x:c r="P52" s="234"/>
      <x:c r="Q52" s="234"/>
      <x:c r="R52" s="234"/>
      <x:c r="S52" s="234"/>
      <x:c r="T52" s="234"/>
      <x:c r="U52" s="234"/>
      <x:c r="V52" s="234"/>
      <x:c r="W52" s="234"/>
      <x:c r="X52" s="234"/>
      <x:c r="Y52" s="234"/>
      <x:c r="Z52" s="234"/>
    </x:row>
    <x:row r="53">
      <x:c r="A53" s="234" t="str">
        <x:v>Use calculated WACC (0=no, 1=yes)</x:v>
      </x:c>
      <x:c r="B53" s="355" t="n">
        <x:v>0</x:v>
      </x:c>
      <x:c r="C53" s="234"/>
      <x:c r="D53" s="234"/>
      <x:c r="E53" s="234"/>
      <x:c r="F53" s="234"/>
      <x:c r="G53" s="234"/>
      <x:c r="H53" s="234"/>
      <x:c r="I53" s="234"/>
      <x:c r="J53" s="234"/>
      <x:c r="K53" s="234"/>
      <x:c r="L53" s="234"/>
      <x:c r="M53" s="234"/>
      <x:c r="N53" s="234"/>
      <x:c r="O53" s="234"/>
      <x:c r="P53" s="234"/>
      <x:c r="Q53" s="234"/>
      <x:c r="R53" s="234"/>
      <x:c r="S53" s="234"/>
      <x:c r="T53" s="234"/>
      <x:c r="U53" s="234"/>
      <x:c r="V53" s="234"/>
      <x:c r="W53" s="234"/>
      <x:c r="X53" s="234"/>
      <x:c r="Y53" s="234"/>
      <x:c r="Z53" s="234"/>
    </x:row>
    <x:row r="54">
      <x:c r="A54" s="234"/>
      <x:c r="B54" s="234"/>
      <x:c r="C54" s="234"/>
      <x:c r="D54" s="234"/>
      <x:c r="E54" s="234"/>
      <x:c r="F54" s="234"/>
      <x:c r="G54" s="234"/>
      <x:c r="H54" s="234"/>
      <x:c r="I54" s="234"/>
      <x:c r="J54" s="234"/>
      <x:c r="K54" s="234"/>
      <x:c r="L54" s="234"/>
      <x:c r="M54" s="234"/>
      <x:c r="N54" s="234"/>
      <x:c r="O54" s="234"/>
      <x:c r="P54" s="234"/>
      <x:c r="Q54" s="234"/>
      <x:c r="R54" s="234"/>
      <x:c r="S54" s="234"/>
      <x:c r="T54" s="234"/>
      <x:c r="U54" s="234"/>
      <x:c r="V54" s="234"/>
      <x:c r="W54" s="234"/>
      <x:c r="X54" s="234"/>
      <x:c r="Y54" s="234"/>
      <x:c r="Z54" s="234"/>
    </x:row>
    <x:row r="55">
      <x:c r="A55" s="234" t="str">
        <x:v>Terminal share of enterprise value</x:v>
      </x:c>
      <x:c r="B55" s="353" t="n">
        <x:f>B35/B36</x:f>
        <x:v>0.7963810713656899</x:v>
      </x:c>
      <x:c r="C55" s="234"/>
      <x:c r="D55" s="234"/>
      <x:c r="E55" s="234"/>
      <x:c r="F55" s="234"/>
      <x:c r="G55" s="234"/>
      <x:c r="H55" s="234"/>
      <x:c r="I55" s="234"/>
      <x:c r="J55" s="234"/>
      <x:c r="K55" s="234"/>
      <x:c r="L55" s="234"/>
      <x:c r="M55" s="234"/>
      <x:c r="N55" s="234"/>
      <x:c r="O55" s="234"/>
      <x:c r="P55" s="234"/>
      <x:c r="Q55" s="234"/>
      <x:c r="R55" s="234"/>
      <x:c r="S55" s="234"/>
      <x:c r="T55" s="234"/>
      <x:c r="U55" s="234"/>
      <x:c r="V55" s="234"/>
      <x:c r="W55" s="234"/>
      <x:c r="X55" s="234"/>
      <x:c r="Y55" s="234"/>
      <x:c r="Z55" s="234"/>
    </x:row>
    <x:row r="56">
      <x:c r="A56" s="234" t="str">
        <x:v>Sensitivity base less DCF (EUR)</x:v>
      </x:c>
      <x:c r="B56" s="367" t="n">
        <x:f>ROUND(I35-B41,10)</x:f>
        <x:v>0</x:v>
      </x:c>
      <x:c r="C56" s="234"/>
      <x:c r="D56" s="234"/>
      <x:c r="E56" s="234"/>
      <x:c r="F56" s="234"/>
      <x:c r="G56" s="234"/>
      <x:c r="H56" s="234"/>
      <x:c r="I56" s="234"/>
      <x:c r="J56" s="234"/>
      <x:c r="K56" s="234"/>
      <x:c r="L56" s="234"/>
      <x:c r="M56" s="234"/>
      <x:c r="N56" s="234"/>
      <x:c r="O56" s="234"/>
      <x:c r="P56" s="234"/>
      <x:c r="Q56" s="234"/>
      <x:c r="R56" s="234"/>
      <x:c r="S56" s="234"/>
      <x:c r="T56" s="234"/>
      <x:c r="U56" s="234"/>
      <x:c r="V56" s="234"/>
      <x:c r="W56" s="234"/>
      <x:c r="X56" s="234"/>
      <x:c r="Y56" s="234"/>
      <x:c r="Z56" s="234"/>
    </x:row>
    <x:row r="57">
      <x:c r="A57" s="234" t="str">
        <x:v>Discount spread (WACC less g)</x:v>
      </x:c>
      <x:c r="B57" s="353" t="n">
        <x:f>B10-B11</x:f>
        <x:v>0.05</x:v>
      </x:c>
      <x:c r="C57" s="234"/>
      <x:c r="D57" s="234"/>
      <x:c r="E57" s="234"/>
      <x:c r="F57" s="234"/>
      <x:c r="G57" s="234"/>
      <x:c r="H57" s="234"/>
      <x:c r="I57" s="234"/>
      <x:c r="J57" s="234"/>
      <x:c r="K57" s="234"/>
      <x:c r="L57" s="234"/>
      <x:c r="M57" s="234"/>
      <x:c r="N57" s="234"/>
      <x:c r="O57" s="234"/>
      <x:c r="P57" s="234"/>
      <x:c r="Q57" s="234"/>
      <x:c r="R57" s="234"/>
      <x:c r="S57" s="234"/>
      <x:c r="T57" s="234"/>
      <x:c r="U57" s="234"/>
      <x:c r="V57" s="234"/>
      <x:c r="W57" s="234"/>
      <x:c r="X57" s="234"/>
      <x:c r="Y57" s="234"/>
      <x:c r="Z57" s="234"/>
    </x:row>
    <x:row r="58">
      <x:c r="A58" s="234"/>
      <x:c r="B58" s="234"/>
      <x:c r="C58" s="234"/>
      <x:c r="D58" s="234"/>
      <x:c r="E58" s="234"/>
      <x:c r="F58" s="234"/>
      <x:c r="G58" s="234"/>
      <x:c r="H58" s="234"/>
      <x:c r="I58" s="234"/>
      <x:c r="J58" s="234"/>
      <x:c r="K58" s="234"/>
      <x:c r="L58" s="234"/>
      <x:c r="M58" s="234"/>
      <x:c r="N58" s="234"/>
      <x:c r="O58" s="234"/>
      <x:c r="P58" s="234"/>
      <x:c r="Q58" s="234"/>
      <x:c r="R58" s="234"/>
      <x:c r="S58" s="234"/>
      <x:c r="T58" s="234"/>
      <x:c r="U58" s="234"/>
      <x:c r="V58" s="234"/>
      <x:c r="W58" s="234"/>
      <x:c r="X58" s="234"/>
      <x:c r="Y58" s="234"/>
      <x:c r="Z58" s="234"/>
    </x:row>
    <x:row r="59">
      <x:c r="A59" s="234"/>
      <x:c r="B59" s="234"/>
      <x:c r="C59" s="234"/>
      <x:c r="D59" s="234"/>
      <x:c r="E59" s="234"/>
      <x:c r="F59" s="234"/>
      <x:c r="G59" s="234"/>
      <x:c r="H59" s="234"/>
      <x:c r="I59" s="234"/>
      <x:c r="J59" s="234"/>
      <x:c r="K59" s="234"/>
      <x:c r="L59" s="234"/>
      <x:c r="M59" s="234"/>
      <x:c r="N59" s="234"/>
      <x:c r="O59" s="234"/>
      <x:c r="P59" s="234"/>
      <x:c r="Q59" s="234"/>
      <x:c r="R59" s="234"/>
      <x:c r="S59" s="234"/>
      <x:c r="T59" s="234"/>
      <x:c r="U59" s="234"/>
      <x:c r="V59" s="234"/>
      <x:c r="W59" s="234"/>
      <x:c r="X59" s="234"/>
      <x:c r="Y59" s="234"/>
      <x:c r="Z59" s="234"/>
    </x:row>
    <x:row r="60">
      <x:c r="A60" s="234" t="str">
        <x:v>Historical GBP per EUR</x:v>
      </x:c>
      <x:c r="B60" s="348" t="n">
        <x:v>0.82918</x:v>
      </x:c>
      <x:c r="C60" s="234"/>
      <x:c r="D60" s="234"/>
      <x:c r="E60" s="234"/>
      <x:c r="F60" s="234"/>
      <x:c r="G60" s="234"/>
      <x:c r="H60" s="234"/>
      <x:c r="I60" s="234"/>
      <x:c r="J60" s="234"/>
      <x:c r="K60" s="234"/>
      <x:c r="L60" s="234"/>
      <x:c r="M60" s="234"/>
      <x:c r="N60" s="234"/>
      <x:c r="O60" s="234"/>
      <x:c r="P60" s="234"/>
      <x:c r="Q60" s="234"/>
      <x:c r="R60" s="234"/>
      <x:c r="S60" s="234"/>
      <x:c r="T60" s="234"/>
      <x:c r="U60" s="234"/>
      <x:c r="V60" s="234"/>
      <x:c r="W60" s="234"/>
      <x:c r="X60" s="234"/>
      <x:c r="Y60" s="234"/>
      <x:c r="Z60" s="234"/>
    </x:row>
    <x:row r="62">
      <x:c r="A62" t="str">
        <x:v>Select 0 or 1. Invalid discount/growth inputs return #N/A.</x:v>
      </x:c>
    </x:row>
  </x:sheetData>
  <x:mergeCells>
    <x:mergeCell ref="A1:H1"/>
    <x:mergeCell ref="A3:D3"/>
    <x:mergeCell ref="A16:H16"/>
    <x:mergeCell ref="A31:D31"/>
    <x:mergeCell ref="F31:L31"/>
  </x:mergeCells>
  <x:dataValidations count="1">
    <x:dataValidation type="list" sqref="B53">
      <x:formula1>"0,1"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5" hidden="0" customWidth="1"/>
    <x:col min="3" max="3" width="13" hidden="0" customWidth="1"/>
    <x:col min="4" max="4" width="36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28" customHeight="1">
      <x:c r="A1" s="26" t="str">
        <x:v>Abnormal Earnings / Residual Income Valuation</x:v>
      </x:c>
      <x:c r="B1" s="26" t="str">
        <x:v>Abnormal Earnings / Residual Income Valuation</x:v>
      </x:c>
      <x:c r="C1" s="26" t="str">
        <x:v>Abnormal Earnings / Residual Income Valuation</x:v>
      </x:c>
      <x:c r="D1" s="26" t="str">
        <x:v>Abnormal Earnings / Residual Income Valuation</x:v>
      </x:c>
      <x:c r="E1" s="26" t="str">
        <x:v>Abnormal Earnings / Residual Income Valuation</x:v>
      </x:c>
      <x:c r="F1" s="26" t="str">
        <x:v>Abnormal Earnings / Residual Income Valuation</x:v>
      </x:c>
      <x:c r="G1" s="26" t="str">
        <x:v>Abnormal Earnings / Residual Income Valuation</x:v>
      </x:c>
      <x:c r="H1" s="26" t="str">
        <x:v>Abnormal Earnings / Residual Income Valuation</x:v>
      </x:c>
      <x:c r="I1" s="234"/>
      <x:c r="J1" s="234"/>
      <x:c r="K1" s="234"/>
      <x:c r="L1" s="234"/>
      <x:c r="M1" s="234"/>
      <x:c r="N1" s="234"/>
      <x:c r="O1" s="234"/>
      <x:c r="P1" s="234"/>
      <x:c r="Q1" s="234"/>
      <x:c r="R1" s="234"/>
      <x:c r="S1" s="234"/>
      <x:c r="T1" s="234"/>
      <x:c r="U1" s="234"/>
      <x:c r="V1" s="234"/>
      <x:c r="W1" s="234"/>
      <x:c r="X1" s="234"/>
      <x:c r="Y1" s="234"/>
      <x:c r="Z1" s="234"/>
    </x:row>
    <x:row r="2">
      <x:c r="A2" s="235"/>
      <x:c r="B2" s="235"/>
      <x:c r="C2" s="235"/>
      <x:c r="D2" s="235"/>
      <x:c r="E2" s="235"/>
      <x:c r="F2" s="235"/>
      <x:c r="G2" s="235"/>
      <x:c r="H2" s="235"/>
      <x:c r="I2" s="234"/>
      <x:c r="J2" s="234"/>
      <x:c r="K2" s="234"/>
      <x:c r="L2" s="234"/>
      <x:c r="M2" s="234"/>
      <x:c r="N2" s="234"/>
      <x:c r="O2" s="234"/>
      <x:c r="P2" s="234"/>
      <x:c r="Q2" s="234"/>
      <x:c r="R2" s="234"/>
      <x:c r="S2" s="234"/>
      <x:c r="T2" s="234"/>
      <x:c r="U2" s="234"/>
      <x:c r="V2" s="234"/>
      <x:c r="W2" s="234"/>
      <x:c r="X2" s="234"/>
      <x:c r="Y2" s="234"/>
      <x:c r="Z2" s="234"/>
    </x:row>
    <x:row r="3" ht="21" customHeight="1">
      <x:c r="A3" s="58" t="str">
        <x:v>Key Assumptions</x:v>
      </x:c>
      <x:c r="B3" s="58" t="str">
        <x:v>Key Assumptions</x:v>
      </x:c>
      <x:c r="C3" s="58" t="str">
        <x:v>Key Assumptions</x:v>
      </x:c>
      <x:c r="D3" s="58" t="str">
        <x:v>Key Assumptions</x:v>
      </x:c>
      <x:c r="E3" s="235"/>
      <x:c r="F3" s="235"/>
      <x:c r="G3" s="235"/>
      <x:c r="H3" s="235"/>
      <x:c r="I3" s="234"/>
      <x:c r="J3" s="234"/>
      <x:c r="K3" s="234"/>
      <x:c r="L3" s="234"/>
      <x:c r="M3" s="234"/>
      <x:c r="N3" s="234"/>
      <x:c r="O3" s="234"/>
      <x:c r="P3" s="234"/>
      <x:c r="Q3" s="234"/>
      <x:c r="R3" s="234"/>
      <x:c r="S3" s="234"/>
      <x:c r="T3" s="234"/>
      <x:c r="U3" s="234"/>
      <x:c r="V3" s="234"/>
      <x:c r="W3" s="234"/>
      <x:c r="X3" s="234"/>
      <x:c r="Y3" s="234"/>
      <x:c r="Z3" s="234"/>
    </x:row>
    <x:row r="4">
      <x:c r="A4" s="28" t="str">
        <x:v>Assumption</x:v>
      </x:c>
      <x:c r="B4" s="28" t="str">
        <x:v>Value</x:v>
      </x:c>
      <x:c r="C4" s="28" t="str">
        <x:v>Units</x:v>
      </x:c>
      <x:c r="D4" s="28" t="str">
        <x:v>Rationale / Source</x:v>
      </x:c>
      <x:c r="E4" s="235"/>
      <x:c r="F4" s="235"/>
      <x:c r="G4" s="235"/>
      <x:c r="H4" s="235"/>
      <x:c r="I4" s="234"/>
      <x:c r="J4" s="234"/>
      <x:c r="K4" s="234"/>
      <x:c r="L4" s="234"/>
      <x:c r="M4" s="234"/>
      <x:c r="N4" s="234"/>
      <x:c r="O4" s="234"/>
      <x:c r="P4" s="234"/>
      <x:c r="Q4" s="234"/>
      <x:c r="R4" s="234"/>
      <x:c r="S4" s="234"/>
      <x:c r="T4" s="234"/>
      <x:c r="U4" s="234"/>
      <x:c r="V4" s="234"/>
      <x:c r="W4" s="234"/>
      <x:c r="X4" s="234"/>
      <x:c r="Y4" s="234"/>
      <x:c r="Z4" s="234"/>
    </x:row>
    <x:row r="5">
      <x:c r="A5" s="235" t="str">
        <x:v>Starting shareholders' equity</x:v>
      </x:c>
      <x:c r="B5" s="344" t="n">
        <x:f>Historicals!H24</x:f>
        <x:v>19.99</x:v>
      </x:c>
      <x:c r="C5" s="235" t="str">
        <x:v>€bn</x:v>
      </x:c>
      <x:c r="D5" s="235" t="str">
        <x:v>U24</x:v>
      </x:c>
      <x:c r="E5" s="235"/>
      <x:c r="F5" s="235"/>
      <x:c r="G5" s="235"/>
      <x:c r="H5" s="235"/>
      <x:c r="I5" s="234"/>
      <x:c r="J5" s="234"/>
      <x:c r="K5" s="234"/>
      <x:c r="L5" s="234"/>
      <x:c r="M5" s="234"/>
      <x:c r="N5" s="234"/>
      <x:c r="O5" s="234"/>
      <x:c r="P5" s="234"/>
      <x:c r="Q5" s="234"/>
      <x:c r="R5" s="234"/>
      <x:c r="S5" s="234"/>
      <x:c r="T5" s="234"/>
      <x:c r="U5" s="234"/>
      <x:c r="V5" s="234"/>
      <x:c r="W5" s="234"/>
      <x:c r="X5" s="234"/>
      <x:c r="Y5" s="234"/>
      <x:c r="Z5" s="234"/>
    </x:row>
    <x:row r="6">
      <x:c r="A6" s="235" t="str">
        <x:v>Diluted shares</x:v>
      </x:c>
      <x:c r="B6" s="363" t="n">
        <x:f>DCF!B14</x:f>
        <x:v>2.5071</x:v>
      </x:c>
      <x:c r="C6" s="235" t="str">
        <x:v>bn shares</x:v>
      </x:c>
      <x:c r="D6" s="235" t="str">
        <x:v>U24</x:v>
      </x:c>
      <x:c r="E6" s="235"/>
      <x:c r="F6" s="235"/>
      <x:c r="G6" s="235"/>
      <x:c r="H6" s="235"/>
      <x:c r="I6" s="234"/>
      <x:c r="J6" s="234"/>
      <x:c r="K6" s="234"/>
      <x:c r="L6" s="234"/>
      <x:c r="M6" s="234"/>
      <x:c r="N6" s="234"/>
      <x:c r="O6" s="234"/>
      <x:c r="P6" s="234"/>
      <x:c r="Q6" s="234"/>
      <x:c r="R6" s="234"/>
      <x:c r="S6" s="234"/>
      <x:c r="T6" s="234"/>
      <x:c r="U6" s="234"/>
      <x:c r="V6" s="234"/>
      <x:c r="W6" s="234"/>
      <x:c r="X6" s="234"/>
      <x:c r="Y6" s="234"/>
      <x:c r="Z6" s="234"/>
    </x:row>
    <x:row r="7">
      <x:c r="A7" s="235" t="str">
        <x:v>Starting book value / share</x:v>
      </x:c>
      <x:c r="B7" s="250" t="n">
        <x:f>B5/B6</x:f>
        <x:v>7.973355669897491</x:v>
      </x:c>
      <x:c r="C7" s="235" t="str">
        <x:v>€/share</x:v>
      </x:c>
      <x:c r="D7" s="235" t="str">
        <x:v>Calculated</x:v>
      </x:c>
      <x:c r="E7" s="235"/>
      <x:c r="F7" s="235"/>
      <x:c r="G7" s="235"/>
      <x:c r="H7" s="235"/>
      <x:c r="I7" s="234"/>
      <x:c r="J7" s="234"/>
      <x:c r="K7" s="234"/>
      <x:c r="L7" s="234"/>
      <x:c r="M7" s="234"/>
      <x:c r="N7" s="234"/>
      <x:c r="O7" s="234"/>
      <x:c r="P7" s="234"/>
      <x:c r="Q7" s="234"/>
      <x:c r="R7" s="234"/>
      <x:c r="S7" s="234"/>
      <x:c r="T7" s="234"/>
      <x:c r="U7" s="234"/>
      <x:c r="V7" s="234"/>
      <x:c r="W7" s="234"/>
      <x:c r="X7" s="234"/>
      <x:c r="Y7" s="234"/>
      <x:c r="Z7" s="234"/>
    </x:row>
    <x:row r="8">
      <x:c r="A8" s="235" t="str">
        <x:v>Starting underlying EPS</x:v>
      </x:c>
      <x:c r="B8" s="346" t="n">
        <x:f>Historicals!G15</x:f>
        <x:v>2.98</x:v>
      </x:c>
      <x:c r="C8" s="235" t="str">
        <x:v>€/share</x:v>
      </x:c>
      <x:c r="D8" s="235" t="str">
        <x:v>U24</x:v>
      </x:c>
      <x:c r="E8" s="235"/>
      <x:c r="F8" s="235"/>
      <x:c r="G8" s="235"/>
      <x:c r="H8" s="235"/>
      <x:c r="I8" s="234"/>
      <x:c r="J8" s="234"/>
      <x:c r="K8" s="234"/>
      <x:c r="L8" s="234"/>
      <x:c r="M8" s="234"/>
      <x:c r="N8" s="234"/>
      <x:c r="O8" s="234"/>
      <x:c r="P8" s="234"/>
      <x:c r="Q8" s="234"/>
      <x:c r="R8" s="234"/>
      <x:c r="S8" s="234"/>
      <x:c r="T8" s="234"/>
      <x:c r="U8" s="234"/>
      <x:c r="V8" s="234"/>
      <x:c r="W8" s="234"/>
      <x:c r="X8" s="234"/>
      <x:c r="Y8" s="234"/>
      <x:c r="Z8" s="234"/>
    </x:row>
    <x:row r="9">
      <x:c r="A9" s="235" t="str">
        <x:v>Cost of equity</x:v>
      </x:c>
      <x:c r="B9" s="364" t="n">
        <x:f>IF(DCF!B53=1,DCF!B48,0.075)</x:f>
        <x:v>0.075</x:v>
      </x:c>
      <x:c r="C9" s="235" t="str">
        <x:v>%</x:v>
      </x:c>
      <x:c r="D9" s="235" t="str">
        <x:v>Analyst assumption</x:v>
      </x:c>
      <x:c r="E9" s="235"/>
      <x:c r="F9" s="235"/>
      <x:c r="G9" s="235"/>
      <x:c r="H9" s="235"/>
      <x:c r="I9" s="234"/>
      <x:c r="J9" s="234"/>
      <x:c r="K9" s="234"/>
      <x:c r="L9" s="234"/>
      <x:c r="M9" s="234"/>
      <x:c r="N9" s="234"/>
      <x:c r="O9" s="234"/>
      <x:c r="P9" s="234"/>
      <x:c r="Q9" s="234"/>
      <x:c r="R9" s="234"/>
      <x:c r="S9" s="234"/>
      <x:c r="T9" s="234"/>
      <x:c r="U9" s="234"/>
      <x:c r="V9" s="234"/>
      <x:c r="W9" s="234"/>
      <x:c r="X9" s="234"/>
      <x:c r="Y9" s="234"/>
      <x:c r="Z9" s="234"/>
    </x:row>
    <x:row r="10">
      <x:c r="A10" s="235" t="str">
        <x:v>Terminal RI growth</x:v>
      </x:c>
      <x:c r="B10" s="294" t="n">
        <x:v>0.02</x:v>
      </x:c>
      <x:c r="C10" s="235" t="str">
        <x:v>%</x:v>
      </x:c>
      <x:c r="D10" s="235" t="str">
        <x:v>Analyst assumption</x:v>
      </x:c>
      <x:c r="E10" s="235"/>
      <x:c r="F10" s="235"/>
      <x:c r="G10" s="235"/>
      <x:c r="H10" s="235"/>
      <x:c r="I10" s="234"/>
      <x:c r="J10" s="234"/>
      <x:c r="K10" s="234"/>
      <x:c r="L10" s="234"/>
      <x:c r="M10" s="234"/>
      <x:c r="N10" s="234"/>
      <x:c r="O10" s="234"/>
      <x:c r="P10" s="234"/>
      <x:c r="Q10" s="234"/>
      <x:c r="R10" s="234"/>
      <x:c r="S10" s="234"/>
      <x:c r="T10" s="234"/>
      <x:c r="U10" s="234"/>
      <x:c r="V10" s="234"/>
      <x:c r="W10" s="234"/>
      <x:c r="X10" s="234"/>
      <x:c r="Y10" s="234"/>
      <x:c r="Z10" s="234"/>
    </x:row>
    <x:row r="11">
      <x:c r="A11" s="235"/>
      <x:c r="B11" s="235"/>
      <x:c r="C11" s="235"/>
      <x:c r="D11" s="235"/>
      <x:c r="E11" s="235"/>
      <x:c r="F11" s="235"/>
      <x:c r="G11" s="235"/>
      <x:c r="H11" s="235"/>
      <x:c r="I11" s="234"/>
      <x:c r="J11" s="234"/>
      <x:c r="K11" s="234"/>
      <x:c r="L11" s="234"/>
      <x:c r="M11" s="234"/>
      <x:c r="N11" s="234"/>
      <x:c r="O11" s="234"/>
      <x:c r="P11" s="234"/>
      <x:c r="Q11" s="234"/>
      <x:c r="R11" s="234"/>
      <x:c r="S11" s="234"/>
      <x:c r="T11" s="234"/>
      <x:c r="U11" s="234"/>
      <x:c r="V11" s="234"/>
      <x:c r="W11" s="234"/>
      <x:c r="X11" s="234"/>
      <x:c r="Y11" s="234"/>
      <x:c r="Z11" s="234"/>
    </x:row>
    <x:row r="12" ht="21" customHeight="1">
      <x:c r="A12" s="58" t="str">
        <x:v>Forecast Residual Income</x:v>
      </x:c>
      <x:c r="B12" s="58" t="str">
        <x:v>Forecast Residual Income</x:v>
      </x:c>
      <x:c r="C12" s="58" t="str">
        <x:v>Forecast Residual Income</x:v>
      </x:c>
      <x:c r="D12" s="58" t="str">
        <x:v>Forecast Residual Income</x:v>
      </x:c>
      <x:c r="E12" s="58" t="str">
        <x:v>Forecast Residual Income</x:v>
      </x:c>
      <x:c r="F12" s="58" t="str">
        <x:v>Forecast Residual Income</x:v>
      </x:c>
      <x:c r="G12" s="58" t="str">
        <x:v>Forecast Residual Income</x:v>
      </x:c>
      <x:c r="H12" s="58" t="str">
        <x:v>Forecast Residual Income</x:v>
      </x:c>
      <x:c r="I12" s="234"/>
      <x:c r="J12" s="234"/>
      <x:c r="K12" s="234"/>
      <x:c r="L12" s="234"/>
      <x:c r="M12" s="234"/>
      <x:c r="N12" s="234"/>
      <x:c r="O12" s="234"/>
      <x:c r="P12" s="234"/>
      <x:c r="Q12" s="234"/>
      <x:c r="R12" s="234"/>
      <x:c r="S12" s="234"/>
      <x:c r="T12" s="234"/>
      <x:c r="U12" s="234"/>
      <x:c r="V12" s="234"/>
      <x:c r="W12" s="234"/>
      <x:c r="X12" s="234"/>
      <x:c r="Y12" s="234"/>
      <x:c r="Z12" s="234"/>
    </x:row>
    <x:row r="13">
      <x:c r="A13" s="28" t="str">
        <x:v>Metric</x:v>
      </x:c>
      <x:c r="B13" s="28" t="str">
        <x:v>Units</x:v>
      </x:c>
      <x:c r="C13" s="28" t="str">
        <x:v>2024A</x:v>
      </x:c>
      <x:c r="D13" s="28" t="str">
        <x:v>2025E</x:v>
      </x:c>
      <x:c r="E13" s="28" t="str">
        <x:v>2026E</x:v>
      </x:c>
      <x:c r="F13" s="28" t="str">
        <x:v>2027E</x:v>
      </x:c>
      <x:c r="G13" s="28" t="str">
        <x:v>2028E</x:v>
      </x:c>
      <x:c r="H13" s="28" t="str">
        <x:v>2029E</x:v>
      </x:c>
      <x:c r="I13" s="234"/>
      <x:c r="J13" s="234"/>
      <x:c r="K13" s="234"/>
      <x:c r="L13" s="234"/>
      <x:c r="M13" s="234"/>
      <x:c r="N13" s="234"/>
      <x:c r="O13" s="234"/>
      <x:c r="P13" s="234"/>
      <x:c r="Q13" s="234"/>
      <x:c r="R13" s="234"/>
      <x:c r="S13" s="234"/>
      <x:c r="T13" s="234"/>
      <x:c r="U13" s="234"/>
      <x:c r="V13" s="234"/>
      <x:c r="W13" s="234"/>
      <x:c r="X13" s="234"/>
      <x:c r="Y13" s="234"/>
      <x:c r="Z13" s="234"/>
    </x:row>
    <x:row r="14">
      <x:c r="A14" s="235" t="str">
        <x:v>EPS growth</x:v>
      </x:c>
      <x:c r="B14" s="235" t="str">
        <x:v>%</x:v>
      </x:c>
      <x:c r="C14" s="235"/>
      <x:c r="D14" s="294" t="n">
        <x:v>0.06</x:v>
      </x:c>
      <x:c r="E14" s="294" t="n">
        <x:v>0.055</x:v>
      </x:c>
      <x:c r="F14" s="294" t="n">
        <x:v>0.05</x:v>
      </x:c>
      <x:c r="G14" s="294" t="n">
        <x:v>0.045</x:v>
      </x:c>
      <x:c r="H14" s="294" t="n">
        <x:v>0.04</x:v>
      </x:c>
      <x:c r="I14" s="234"/>
      <x:c r="J14" s="234"/>
      <x:c r="K14" s="234"/>
      <x:c r="L14" s="234"/>
      <x:c r="M14" s="234"/>
      <x:c r="N14" s="234"/>
      <x:c r="O14" s="234"/>
      <x:c r="P14" s="234"/>
      <x:c r="Q14" s="234"/>
      <x:c r="R14" s="234"/>
      <x:c r="S14" s="234"/>
      <x:c r="T14" s="234"/>
      <x:c r="U14" s="234"/>
      <x:c r="V14" s="234"/>
      <x:c r="W14" s="234"/>
      <x:c r="X14" s="234"/>
      <x:c r="Y14" s="234"/>
      <x:c r="Z14" s="234"/>
    </x:row>
    <x:row r="15">
      <x:c r="A15" s="235" t="str">
        <x:v>Underlying EPS</x:v>
      </x:c>
      <x:c r="B15" s="235" t="str">
        <x:v>€/share</x:v>
      </x:c>
      <x:c r="C15" s="250" t="n">
        <x:f>$B$8</x:f>
        <x:v>2.98</x:v>
      </x:c>
      <x:c r="D15" s="250" t="n">
        <x:f>$B$8*(1+D14)</x:f>
        <x:v>3.1588000000000003</x:v>
      </x:c>
      <x:c r="E15" s="250" t="n">
        <x:f>D15*(1+E14)</x:f>
        <x:v>3.332534</x:v>
      </x:c>
      <x:c r="F15" s="250" t="n">
        <x:f>E15*(1+F14)</x:f>
        <x:v>3.4991607</x:v>
      </x:c>
      <x:c r="G15" s="250" t="n">
        <x:f>F15*(1+G14)</x:f>
        <x:v>3.6566229315</x:v>
      </x:c>
      <x:c r="H15" s="250" t="n">
        <x:f>G15*(1+H14)</x:f>
        <x:v>3.8028878487599997</x:v>
      </x:c>
      <x:c r="I15" s="234"/>
      <x:c r="J15" s="234"/>
      <x:c r="K15" s="234"/>
      <x:c r="L15" s="234"/>
      <x:c r="M15" s="234"/>
      <x:c r="N15" s="234"/>
      <x:c r="O15" s="234"/>
      <x:c r="P15" s="234"/>
      <x:c r="Q15" s="234"/>
      <x:c r="R15" s="234"/>
      <x:c r="S15" s="234"/>
      <x:c r="T15" s="234"/>
      <x:c r="U15" s="234"/>
      <x:c r="V15" s="234"/>
      <x:c r="W15" s="234"/>
      <x:c r="X15" s="234"/>
      <x:c r="Y15" s="234"/>
      <x:c r="Z15" s="234"/>
    </x:row>
    <x:row r="16">
      <x:c r="A16" s="235" t="str">
        <x:v>Beginning book value</x:v>
      </x:c>
      <x:c r="B16" s="235" t="str">
        <x:v>€/share</x:v>
      </x:c>
      <x:c r="C16" s="250" t="n">
        <x:f>$B$7</x:f>
        <x:v>7.973355669897491</x:v>
      </x:c>
      <x:c r="D16" s="250" t="n">
        <x:f>$B$7</x:f>
        <x:v>7.973355669897491</x:v>
      </x:c>
      <x:c r="E16" s="250" t="n">
        <x:f>D20</x:f>
        <x:v>9.236875669897492</x:v>
      </x:c>
      <x:c r="F16" s="250" t="n">
        <x:f>E20</x:f>
        <x:v>10.569889269897491</x:v>
      </x:c>
      <x:c r="G16" s="250" t="n">
        <x:f>F20</x:f>
        <x:v>11.96955354989749</x:v>
      </x:c>
      <x:c r="H16" s="250" t="n">
        <x:f>G20</x:f>
        <x:v>13.43220272249749</x:v>
      </x:c>
      <x:c r="I16" s="234"/>
      <x:c r="J16" s="234"/>
      <x:c r="K16" s="234"/>
      <x:c r="L16" s="234"/>
      <x:c r="M16" s="234"/>
      <x:c r="N16" s="234"/>
      <x:c r="O16" s="234"/>
      <x:c r="P16" s="234"/>
      <x:c r="Q16" s="234"/>
      <x:c r="R16" s="234"/>
      <x:c r="S16" s="234"/>
      <x:c r="T16" s="234"/>
      <x:c r="U16" s="234"/>
      <x:c r="V16" s="234"/>
      <x:c r="W16" s="234"/>
      <x:c r="X16" s="234"/>
      <x:c r="Y16" s="234"/>
      <x:c r="Z16" s="234"/>
    </x:row>
    <x:row r="17">
      <x:c r="A17" s="235" t="str">
        <x:v>Cost of equity charge</x:v>
      </x:c>
      <x:c r="B17" s="235" t="str">
        <x:v>€/share</x:v>
      </x:c>
      <x:c r="C17" s="250"/>
      <x:c r="D17" s="250" t="n">
        <x:f>D16*$B$9</x:f>
        <x:v>0.5980016752423118</x:v>
      </x:c>
      <x:c r="E17" s="250" t="n">
        <x:f>E16*$B$9</x:f>
        <x:v>0.6927656752423118</x:v>
      </x:c>
      <x:c r="F17" s="250" t="n">
        <x:f>F16*$B$9</x:f>
        <x:v>0.7927416952423118</x:v>
      </x:c>
      <x:c r="G17" s="250" t="n">
        <x:f>G16*$B$9</x:f>
        <x:v>0.8977165162423117</x:v>
      </x:c>
      <x:c r="H17" s="250" t="n">
        <x:f>H16*$B$9</x:f>
        <x:v>1.0074152041873117</x:v>
      </x:c>
      <x:c r="I17" s="234"/>
      <x:c r="J17" s="234"/>
      <x:c r="K17" s="234"/>
      <x:c r="L17" s="234"/>
      <x:c r="M17" s="234"/>
      <x:c r="N17" s="234"/>
      <x:c r="O17" s="234"/>
      <x:c r="P17" s="234"/>
      <x:c r="Q17" s="234"/>
      <x:c r="R17" s="234"/>
      <x:c r="S17" s="234"/>
      <x:c r="T17" s="234"/>
      <x:c r="U17" s="234"/>
      <x:c r="V17" s="234"/>
      <x:c r="W17" s="234"/>
      <x:c r="X17" s="234"/>
      <x:c r="Y17" s="234"/>
      <x:c r="Z17" s="234"/>
    </x:row>
    <x:row r="18">
      <x:c r="A18" s="235" t="str">
        <x:v>Residual income</x:v>
      </x:c>
      <x:c r="B18" s="235" t="str">
        <x:v>€/share</x:v>
      </x:c>
      <x:c r="C18" s="250"/>
      <x:c r="D18" s="250" t="n">
        <x:f>D15-D17</x:f>
        <x:v>2.5607983247576884</x:v>
      </x:c>
      <x:c r="E18" s="250" t="n">
        <x:f>E15-E17</x:f>
        <x:v>2.639768324757688</x:v>
      </x:c>
      <x:c r="F18" s="250" t="n">
        <x:f>F15-F17</x:f>
        <x:v>2.7064190047576884</x:v>
      </x:c>
      <x:c r="G18" s="250" t="n">
        <x:f>G15-G17</x:f>
        <x:v>2.7589064152576883</x:v>
      </x:c>
      <x:c r="H18" s="250" t="n">
        <x:f>H15-H17</x:f>
        <x:v>2.795472644572688</x:v>
      </x:c>
      <x:c r="I18" s="234"/>
      <x:c r="J18" s="234"/>
      <x:c r="K18" s="234"/>
      <x:c r="L18" s="234"/>
      <x:c r="M18" s="234"/>
      <x:c r="N18" s="234"/>
      <x:c r="O18" s="234"/>
      <x:c r="P18" s="234"/>
      <x:c r="Q18" s="234"/>
      <x:c r="R18" s="234"/>
      <x:c r="S18" s="234"/>
      <x:c r="T18" s="234"/>
      <x:c r="U18" s="234"/>
      <x:c r="V18" s="234"/>
      <x:c r="W18" s="234"/>
      <x:c r="X18" s="234"/>
      <x:c r="Y18" s="234"/>
      <x:c r="Z18" s="234"/>
    </x:row>
    <x:row r="19">
      <x:c r="A19" s="235" t="str">
        <x:v>Payout ratio</x:v>
      </x:c>
      <x:c r="B19" s="235" t="str">
        <x:v>%</x:v>
      </x:c>
      <x:c r="C19" s="235"/>
      <x:c r="D19" s="294" t="n">
        <x:v>0.6</x:v>
      </x:c>
      <x:c r="E19" s="294" t="n">
        <x:v>0.6</x:v>
      </x:c>
      <x:c r="F19" s="294" t="n">
        <x:v>0.6</x:v>
      </x:c>
      <x:c r="G19" s="294" t="n">
        <x:v>0.6</x:v>
      </x:c>
      <x:c r="H19" s="294" t="n">
        <x:v>0.6</x:v>
      </x:c>
      <x:c r="I19" s="234"/>
      <x:c r="J19" s="234"/>
      <x:c r="K19" s="234"/>
      <x:c r="L19" s="234"/>
      <x:c r="M19" s="234"/>
      <x:c r="N19" s="234"/>
      <x:c r="O19" s="234"/>
      <x:c r="P19" s="234"/>
      <x:c r="Q19" s="234"/>
      <x:c r="R19" s="234"/>
      <x:c r="S19" s="234"/>
      <x:c r="T19" s="234"/>
      <x:c r="U19" s="234"/>
      <x:c r="V19" s="234"/>
      <x:c r="W19" s="234"/>
      <x:c r="X19" s="234"/>
      <x:c r="Y19" s="234"/>
      <x:c r="Z19" s="234"/>
    </x:row>
    <x:row r="20">
      <x:c r="A20" s="235" t="str">
        <x:v>Ending book value</x:v>
      </x:c>
      <x:c r="B20" s="235" t="str">
        <x:v>€/share</x:v>
      </x:c>
      <x:c r="C20" s="250"/>
      <x:c r="D20" s="250" t="n">
        <x:f>D16+D15*(1-D19)</x:f>
        <x:v>9.236875669897492</x:v>
      </x:c>
      <x:c r="E20" s="250" t="n">
        <x:f>E16+E15*(1-E19)</x:f>
        <x:v>10.569889269897491</x:v>
      </x:c>
      <x:c r="F20" s="250" t="n">
        <x:f>F16+F15*(1-F19)</x:f>
        <x:v>11.96955354989749</x:v>
      </x:c>
      <x:c r="G20" s="250" t="n">
        <x:f>G16+G15*(1-G19)</x:f>
        <x:v>13.43220272249749</x:v>
      </x:c>
      <x:c r="H20" s="250" t="n">
        <x:f>H16+H15*(1-H19)</x:f>
        <x:v>14.95335786200149</x:v>
      </x:c>
      <x:c r="I20" s="234"/>
      <x:c r="J20" s="234"/>
      <x:c r="K20" s="234"/>
      <x:c r="L20" s="234"/>
      <x:c r="M20" s="234"/>
      <x:c r="N20" s="234"/>
      <x:c r="O20" s="234"/>
      <x:c r="P20" s="234"/>
      <x:c r="Q20" s="234"/>
      <x:c r="R20" s="234"/>
      <x:c r="S20" s="234"/>
      <x:c r="T20" s="234"/>
      <x:c r="U20" s="234"/>
      <x:c r="V20" s="234"/>
      <x:c r="W20" s="234"/>
      <x:c r="X20" s="234"/>
      <x:c r="Y20" s="234"/>
      <x:c r="Z20" s="234"/>
    </x:row>
    <x:row r="21">
      <x:c r="A21" s="235"/>
      <x:c r="B21" s="235"/>
      <x:c r="C21" s="235"/>
      <x:c r="D21" s="235"/>
      <x:c r="E21" s="235"/>
      <x:c r="F21" s="235"/>
      <x:c r="G21" s="235"/>
      <x:c r="H21" s="235"/>
      <x:c r="I21" s="234"/>
      <x:c r="J21" s="234"/>
      <x:c r="K21" s="234"/>
      <x:c r="L21" s="234"/>
      <x:c r="M21" s="234"/>
      <x:c r="N21" s="234"/>
      <x:c r="O21" s="234"/>
      <x:c r="P21" s="234"/>
      <x:c r="Q21" s="234"/>
      <x:c r="R21" s="234"/>
      <x:c r="S21" s="234"/>
      <x:c r="T21" s="234"/>
      <x:c r="U21" s="234"/>
      <x:c r="V21" s="234"/>
      <x:c r="W21" s="234"/>
      <x:c r="X21" s="234"/>
      <x:c r="Y21" s="234"/>
      <x:c r="Z21" s="234"/>
    </x:row>
    <x:row r="22" ht="21" customHeight="1">
      <x:c r="A22" s="58" t="str">
        <x:v>Valuation Output</x:v>
      </x:c>
      <x:c r="B22" s="58" t="str">
        <x:v>Valuation Output</x:v>
      </x:c>
      <x:c r="C22" s="58" t="str">
        <x:v>Valuation Output</x:v>
      </x:c>
      <x:c r="D22" s="58" t="str">
        <x:v>Valuation Output</x:v>
      </x:c>
      <x:c r="E22" s="235"/>
      <x:c r="F22" s="235"/>
      <x:c r="G22" s="235"/>
      <x:c r="H22" s="235"/>
      <x:c r="I22" s="234"/>
      <x:c r="J22" s="234"/>
      <x:c r="K22" s="234"/>
      <x:c r="L22" s="234"/>
      <x:c r="M22" s="234"/>
      <x:c r="N22" s="234"/>
      <x:c r="O22" s="234"/>
      <x:c r="P22" s="234"/>
      <x:c r="Q22" s="234"/>
      <x:c r="R22" s="234"/>
      <x:c r="S22" s="234"/>
      <x:c r="T22" s="234"/>
      <x:c r="U22" s="234"/>
      <x:c r="V22" s="234"/>
      <x:c r="W22" s="234"/>
      <x:c r="X22" s="234"/>
      <x:c r="Y22" s="234"/>
      <x:c r="Z22" s="234"/>
    </x:row>
    <x:row r="23">
      <x:c r="A23" s="28" t="str">
        <x:v>Metric</x:v>
      </x:c>
      <x:c r="B23" s="28" t="str">
        <x:v>Value</x:v>
      </x:c>
      <x:c r="C23" s="28" t="str">
        <x:v>Units</x:v>
      </x:c>
      <x:c r="D23" s="28" t="str">
        <x:v>Formula</x:v>
      </x:c>
      <x:c r="E23" s="235"/>
      <x:c r="F23" s="235"/>
      <x:c r="G23" s="235"/>
      <x:c r="H23" s="235"/>
      <x:c r="I23" s="234"/>
      <x:c r="J23" s="234"/>
      <x:c r="K23" s="234"/>
      <x:c r="L23" s="234"/>
      <x:c r="M23" s="234"/>
      <x:c r="N23" s="234"/>
      <x:c r="O23" s="234"/>
      <x:c r="P23" s="234"/>
      <x:c r="Q23" s="234"/>
      <x:c r="R23" s="234"/>
      <x:c r="S23" s="234"/>
      <x:c r="T23" s="234"/>
      <x:c r="U23" s="234"/>
      <x:c r="V23" s="234"/>
      <x:c r="W23" s="234"/>
      <x:c r="X23" s="234"/>
      <x:c r="Y23" s="234"/>
      <x:c r="Z23" s="234"/>
    </x:row>
    <x:row r="24">
      <x:c r="A24" s="235" t="str">
        <x:v>Starting book value / share</x:v>
      </x:c>
      <x:c r="B24" s="244" t="n">
        <x:f>$B$7</x:f>
        <x:v>7.973355669897491</x:v>
      </x:c>
      <x:c r="C24" s="235"/>
      <x:c r="D24" s="235"/>
      <x:c r="E24" s="235"/>
      <x:c r="F24" s="235"/>
      <x:c r="G24" s="235"/>
      <x:c r="H24" s="235"/>
      <x:c r="I24" s="234"/>
      <x:c r="J24" s="234"/>
      <x:c r="K24" s="234"/>
      <x:c r="L24" s="234"/>
      <x:c r="M24" s="234"/>
      <x:c r="N24" s="234"/>
      <x:c r="O24" s="234"/>
      <x:c r="P24" s="234"/>
      <x:c r="Q24" s="234"/>
      <x:c r="R24" s="234"/>
      <x:c r="S24" s="234"/>
      <x:c r="T24" s="234"/>
      <x:c r="U24" s="234"/>
      <x:c r="V24" s="234"/>
      <x:c r="W24" s="234"/>
      <x:c r="X24" s="234"/>
      <x:c r="Y24" s="234"/>
      <x:c r="Z24" s="234"/>
    </x:row>
    <x:row r="25">
      <x:c r="A25" s="235" t="str">
        <x:v>PV of explicit residual income</x:v>
      </x:c>
      <x:c r="B25" s="244" t="n">
        <x:f>SUM(D18/(1+$B$9)^1,E18/(1+$B$9)^2,F18/(1+$B$9)^3,G18/(1+$B$9)^4,H18/(1+$B$9)^5)</x:f>
        <x:v>10.858057367469888</x:v>
      </x:c>
      <x:c r="C25" s="235"/>
      <x:c r="D25" s="235"/>
      <x:c r="E25" s="235"/>
      <x:c r="F25" s="235"/>
      <x:c r="G25" s="235"/>
      <x:c r="H25" s="235"/>
      <x:c r="I25" s="234"/>
      <x:c r="J25" s="234"/>
      <x:c r="K25" s="234"/>
      <x:c r="L25" s="234"/>
      <x:c r="M25" s="234"/>
      <x:c r="N25" s="234"/>
      <x:c r="O25" s="234"/>
      <x:c r="P25" s="234"/>
      <x:c r="Q25" s="234"/>
      <x:c r="R25" s="234"/>
      <x:c r="S25" s="234"/>
      <x:c r="T25" s="234"/>
      <x:c r="U25" s="234"/>
      <x:c r="V25" s="234"/>
      <x:c r="W25" s="234"/>
      <x:c r="X25" s="234"/>
      <x:c r="Y25" s="234"/>
      <x:c r="Z25" s="234"/>
    </x:row>
    <x:row r="26">
      <x:c r="A26" s="235" t="str">
        <x:v>Terminal residual income value</x:v>
      </x:c>
      <x:c r="B26" s="244" t="n">
        <x:f>IF(AND(ISNUMBER(B10),B10&gt;-1,B9&gt;B10),H18*(1+B10)/(B9-B10),NA())</x:f>
        <x:v>51.8433108629844</x:v>
      </x:c>
      <x:c r="C26" s="235"/>
      <x:c r="D26" s="235"/>
      <x:c r="E26" s="235"/>
      <x:c r="F26" s="235"/>
      <x:c r="G26" s="235"/>
      <x:c r="H26" s="235"/>
      <x:c r="I26" s="234"/>
      <x:c r="J26" s="234"/>
      <x:c r="K26" s="234"/>
      <x:c r="L26" s="234"/>
      <x:c r="M26" s="234"/>
      <x:c r="N26" s="234"/>
      <x:c r="O26" s="234"/>
      <x:c r="P26" s="234"/>
      <x:c r="Q26" s="234"/>
      <x:c r="R26" s="234"/>
      <x:c r="S26" s="234"/>
      <x:c r="T26" s="234"/>
      <x:c r="U26" s="234"/>
      <x:c r="V26" s="234"/>
      <x:c r="W26" s="234"/>
      <x:c r="X26" s="234"/>
      <x:c r="Y26" s="234"/>
      <x:c r="Z26" s="234"/>
    </x:row>
    <x:row r="27">
      <x:c r="A27" s="235" t="str">
        <x:v>PV of terminal residual income</x:v>
      </x:c>
      <x:c r="B27" s="244" t="n">
        <x:f>B26/(1+$B$9)^5</x:f>
        <x:v>36.11190571122234</x:v>
      </x:c>
      <x:c r="C27" s="235"/>
      <x:c r="D27" s="235"/>
      <x:c r="E27" s="235"/>
      <x:c r="F27" s="235"/>
      <x:c r="G27" s="235"/>
      <x:c r="H27" s="235"/>
      <x:c r="I27" s="234"/>
      <x:c r="J27" s="234"/>
      <x:c r="K27" s="234"/>
      <x:c r="L27" s="234"/>
      <x:c r="M27" s="234"/>
      <x:c r="N27" s="234"/>
      <x:c r="O27" s="234"/>
      <x:c r="P27" s="234"/>
      <x:c r="Q27" s="234"/>
      <x:c r="R27" s="234"/>
      <x:c r="S27" s="234"/>
      <x:c r="T27" s="234"/>
      <x:c r="U27" s="234"/>
      <x:c r="V27" s="234"/>
      <x:c r="W27" s="234"/>
      <x:c r="X27" s="234"/>
      <x:c r="Y27" s="234"/>
      <x:c r="Z27" s="234"/>
    </x:row>
    <x:row r="28">
      <x:c r="A28" s="285" t="str">
        <x:v>Abnormal earnings value / share</x:v>
      </x:c>
      <x:c r="B28" s="246" t="n">
        <x:f>SUM(B24:B25,B27)</x:f>
        <x:v>54.94331874858972</x:v>
      </x:c>
      <x:c r="C28" s="235"/>
      <x:c r="D28" s="235"/>
      <x:c r="E28" s="235"/>
      <x:c r="F28" s="235"/>
      <x:c r="G28" s="235"/>
      <x:c r="H28" s="235"/>
      <x:c r="I28" s="234"/>
      <x:c r="J28" s="234"/>
      <x:c r="K28" s="234"/>
      <x:c r="L28" s="234"/>
      <x:c r="M28" s="234"/>
      <x:c r="N28" s="234"/>
      <x:c r="O28" s="234"/>
      <x:c r="P28" s="234"/>
      <x:c r="Q28" s="234"/>
      <x:c r="R28" s="234"/>
      <x:c r="S28" s="234"/>
      <x:c r="T28" s="234"/>
      <x:c r="U28" s="234"/>
      <x:c r="V28" s="234"/>
      <x:c r="W28" s="234"/>
      <x:c r="X28" s="234"/>
      <x:c r="Y28" s="234"/>
      <x:c r="Z28" s="234"/>
    </x:row>
    <x:row r="29">
      <x:c r="A29" s="235" t="str">
        <x:v>Cross-check vs DCF</x:v>
      </x:c>
      <x:c r="B29" s="243" t="n">
        <x:f>DCF!B41</x:f>
        <x:v>63.86784377757261</x:v>
      </x:c>
      <x:c r="C29" s="235"/>
      <x:c r="D29" s="235"/>
      <x:c r="E29" s="235"/>
      <x:c r="F29" s="235"/>
      <x:c r="G29" s="235"/>
      <x:c r="H29" s="235"/>
      <x:c r="I29" s="234"/>
      <x:c r="J29" s="234"/>
      <x:c r="K29" s="234"/>
      <x:c r="L29" s="234"/>
      <x:c r="M29" s="234"/>
      <x:c r="N29" s="234"/>
      <x:c r="O29" s="234"/>
      <x:c r="P29" s="234"/>
      <x:c r="Q29" s="234"/>
      <x:c r="R29" s="234"/>
      <x:c r="S29" s="234"/>
      <x:c r="T29" s="234"/>
      <x:c r="U29" s="234"/>
      <x:c r="V29" s="234"/>
      <x:c r="W29" s="234"/>
      <x:c r="X29" s="234"/>
      <x:c r="Y29" s="234"/>
      <x:c r="Z29" s="234"/>
    </x:row>
    <x:row r="30">
      <x:c r="A30" s="235"/>
      <x:c r="B30" s="235"/>
      <x:c r="C30" s="235"/>
      <x:c r="D30" s="235"/>
      <x:c r="E30" s="235"/>
      <x:c r="F30" s="235"/>
      <x:c r="G30" s="235"/>
      <x:c r="H30" s="235"/>
      <x:c r="I30" s="234"/>
      <x:c r="J30" s="234"/>
      <x:c r="K30" s="234"/>
      <x:c r="L30" s="234"/>
      <x:c r="M30" s="234"/>
      <x:c r="N30" s="234"/>
      <x:c r="O30" s="234"/>
      <x:c r="P30" s="234"/>
      <x:c r="Q30" s="234"/>
      <x:c r="R30" s="234"/>
      <x:c r="S30" s="234"/>
      <x:c r="T30" s="234"/>
      <x:c r="U30" s="234"/>
      <x:c r="V30" s="234"/>
      <x:c r="W30" s="234"/>
      <x:c r="X30" s="234"/>
      <x:c r="Y30" s="234"/>
      <x:c r="Z30" s="234"/>
    </x:row>
    <x:row r="31">
      <x:c r="A31" s="235"/>
      <x:c r="B31" s="235"/>
      <x:c r="C31" s="235"/>
      <x:c r="D31" s="235"/>
      <x:c r="E31" s="235"/>
      <x:c r="F31" s="235"/>
      <x:c r="G31" s="235"/>
      <x:c r="H31" s="235"/>
      <x:c r="I31" s="234"/>
      <x:c r="J31" s="234"/>
      <x:c r="K31" s="234"/>
      <x:c r="L31" s="234"/>
      <x:c r="M31" s="234"/>
      <x:c r="N31" s="234"/>
      <x:c r="O31" s="234"/>
      <x:c r="P31" s="234"/>
      <x:c r="Q31" s="234"/>
      <x:c r="R31" s="234"/>
      <x:c r="S31" s="234"/>
      <x:c r="T31" s="234"/>
      <x:c r="U31" s="234"/>
      <x:c r="V31" s="234"/>
      <x:c r="W31" s="234"/>
      <x:c r="X31" s="234"/>
      <x:c r="Y31" s="234"/>
      <x:c r="Z31" s="234"/>
    </x:row>
    <x:row r="32">
      <x:c r="A32" s="235" t="str">
        <x:v>Simplified clean-surplus assumption: underlying EPS may not reconcile to reported equity.</x:v>
      </x:c>
      <x:c r="B32" s="235"/>
      <x:c r="C32" s="235"/>
      <x:c r="D32" s="235"/>
      <x:c r="E32" s="235"/>
      <x:c r="F32" s="235"/>
      <x:c r="G32" s="235"/>
      <x:c r="H32" s="235"/>
      <x:c r="I32" s="234"/>
      <x:c r="J32" s="234"/>
      <x:c r="K32" s="234"/>
      <x:c r="L32" s="234"/>
      <x:c r="M32" s="234"/>
      <x:c r="N32" s="234"/>
      <x:c r="O32" s="234"/>
      <x:c r="P32" s="234"/>
      <x:c r="Q32" s="234"/>
      <x:c r="R32" s="234"/>
      <x:c r="S32" s="234"/>
      <x:c r="T32" s="234"/>
      <x:c r="U32" s="234"/>
      <x:c r="V32" s="234"/>
      <x:c r="W32" s="234"/>
      <x:c r="X32" s="234"/>
      <x:c r="Y32" s="234"/>
      <x:c r="Z32" s="234"/>
    </x:row>
    <x:row r="33">
      <x:c r="A33" s="235"/>
      <x:c r="B33" s="235"/>
      <x:c r="C33" s="235"/>
      <x:c r="D33" s="235"/>
      <x:c r="E33" s="235"/>
      <x:c r="F33" s="235"/>
      <x:c r="G33" s="235"/>
      <x:c r="H33" s="235"/>
      <x:c r="I33" s="234"/>
      <x:c r="J33" s="234"/>
      <x:c r="K33" s="234"/>
      <x:c r="L33" s="234"/>
      <x:c r="M33" s="234"/>
      <x:c r="N33" s="234"/>
      <x:c r="O33" s="234"/>
      <x:c r="P33" s="234"/>
      <x:c r="Q33" s="234"/>
      <x:c r="R33" s="234"/>
      <x:c r="S33" s="234"/>
      <x:c r="T33" s="234"/>
      <x:c r="U33" s="234"/>
      <x:c r="V33" s="234"/>
      <x:c r="W33" s="234"/>
      <x:c r="X33" s="234"/>
      <x:c r="Y33" s="234"/>
      <x:c r="Z33" s="234"/>
    </x:row>
    <x:row r="34">
      <x:c r="A34" s="235" t="str">
        <x:v>Terminal residual income grows in perpetuity; no explicit ROE fade is modelled.</x:v>
      </x:c>
      <x:c r="B34" s="235"/>
      <x:c r="C34" s="235"/>
      <x:c r="D34" s="235"/>
      <x:c r="E34" s="235"/>
      <x:c r="F34" s="235"/>
      <x:c r="G34" s="235"/>
      <x:c r="H34" s="235"/>
      <x:c r="I34" s="234"/>
      <x:c r="J34" s="234"/>
      <x:c r="K34" s="234"/>
      <x:c r="L34" s="234"/>
      <x:c r="M34" s="234"/>
      <x:c r="N34" s="234"/>
      <x:c r="O34" s="234"/>
      <x:c r="P34" s="234"/>
      <x:c r="Q34" s="234"/>
      <x:c r="R34" s="234"/>
      <x:c r="S34" s="234"/>
      <x:c r="T34" s="234"/>
      <x:c r="U34" s="234"/>
      <x:c r="V34" s="234"/>
      <x:c r="W34" s="234"/>
      <x:c r="X34" s="234"/>
      <x:c r="Y34" s="234"/>
      <x:c r="Z34" s="234"/>
    </x:row>
    <x:row r="35">
      <x:c r="A35" s="235"/>
      <x:c r="B35" s="235"/>
      <x:c r="C35" s="235"/>
      <x:c r="D35" s="235"/>
      <x:c r="E35" s="235"/>
      <x:c r="F35" s="235"/>
      <x:c r="G35" s="235"/>
      <x:c r="H35" s="235"/>
      <x:c r="I35" s="234"/>
      <x:c r="J35" s="234"/>
      <x:c r="K35" s="234"/>
      <x:c r="L35" s="234"/>
      <x:c r="M35" s="234"/>
      <x:c r="N35" s="234"/>
      <x:c r="O35" s="234"/>
      <x:c r="P35" s="234"/>
      <x:c r="Q35" s="234"/>
      <x:c r="R35" s="234"/>
      <x:c r="S35" s="234"/>
      <x:c r="T35" s="234"/>
      <x:c r="U35" s="234"/>
      <x:c r="V35" s="234"/>
      <x:c r="W35" s="234"/>
      <x:c r="X35" s="234"/>
      <x:c r="Y35" s="234"/>
      <x:c r="Z35" s="234"/>
    </x:row>
    <x:row r="36">
      <x:c r="A36" s="234"/>
      <x:c r="B36" s="234"/>
      <x:c r="C36" s="234"/>
      <x:c r="D36" s="234"/>
      <x:c r="E36" s="234"/>
      <x:c r="F36" s="234"/>
      <x:c r="G36" s="234"/>
      <x:c r="H36" s="234"/>
      <x:c r="I36" s="234"/>
      <x:c r="J36" s="234"/>
      <x:c r="K36" s="234"/>
      <x:c r="L36" s="234"/>
      <x:c r="M36" s="234"/>
      <x:c r="N36" s="234"/>
      <x:c r="O36" s="234"/>
      <x:c r="P36" s="234"/>
      <x:c r="Q36" s="234"/>
      <x:c r="R36" s="234"/>
      <x:c r="S36" s="234"/>
      <x:c r="T36" s="234"/>
      <x:c r="U36" s="234"/>
      <x:c r="V36" s="234"/>
      <x:c r="W36" s="234"/>
      <x:c r="X36" s="234"/>
      <x:c r="Y36" s="234"/>
      <x:c r="Z36" s="234"/>
    </x:row>
    <x:row r="37">
      <x:c r="A37" s="234"/>
      <x:c r="B37" s="234"/>
      <x:c r="C37" s="234"/>
      <x:c r="D37" s="234"/>
      <x:c r="E37" s="234"/>
      <x:c r="F37" s="234"/>
      <x:c r="G37" s="234"/>
      <x:c r="H37" s="234"/>
      <x:c r="I37" s="234"/>
      <x:c r="J37" s="234"/>
      <x:c r="K37" s="234"/>
      <x:c r="L37" s="234"/>
      <x:c r="M37" s="234"/>
      <x:c r="N37" s="234"/>
      <x:c r="O37" s="234"/>
      <x:c r="P37" s="234"/>
      <x:c r="Q37" s="234"/>
      <x:c r="R37" s="234"/>
      <x:c r="S37" s="234"/>
      <x:c r="T37" s="234"/>
      <x:c r="U37" s="234"/>
      <x:c r="V37" s="234"/>
      <x:c r="W37" s="234"/>
      <x:c r="X37" s="234"/>
      <x:c r="Y37" s="234"/>
      <x:c r="Z37" s="234"/>
    </x:row>
    <x:row r="38">
      <x:c r="A38" s="234"/>
      <x:c r="B38" s="234"/>
      <x:c r="C38" s="234"/>
      <x:c r="D38" s="234"/>
      <x:c r="E38" s="234"/>
      <x:c r="F38" s="234"/>
      <x:c r="G38" s="234"/>
      <x:c r="H38" s="234"/>
      <x:c r="I38" s="234"/>
      <x:c r="J38" s="234"/>
      <x:c r="K38" s="234"/>
      <x:c r="L38" s="234"/>
      <x:c r="M38" s="234"/>
      <x:c r="N38" s="234"/>
      <x:c r="O38" s="234"/>
      <x:c r="P38" s="234"/>
      <x:c r="Q38" s="234"/>
      <x:c r="R38" s="234"/>
      <x:c r="S38" s="234"/>
      <x:c r="T38" s="234"/>
      <x:c r="U38" s="234"/>
      <x:c r="V38" s="234"/>
      <x:c r="W38" s="234"/>
      <x:c r="X38" s="234"/>
      <x:c r="Y38" s="234"/>
      <x:c r="Z38" s="234"/>
    </x:row>
    <x:row r="39">
      <x:c r="A39" s="234"/>
      <x:c r="B39" s="234"/>
      <x:c r="C39" s="234"/>
      <x:c r="D39" s="234"/>
      <x:c r="E39" s="234"/>
      <x:c r="F39" s="234"/>
      <x:c r="G39" s="234"/>
      <x:c r="H39" s="234"/>
      <x:c r="I39" s="234"/>
      <x:c r="J39" s="234"/>
      <x:c r="K39" s="234"/>
      <x:c r="L39" s="234"/>
      <x:c r="M39" s="234"/>
      <x:c r="N39" s="234"/>
      <x:c r="O39" s="234"/>
      <x:c r="P39" s="234"/>
      <x:c r="Q39" s="234"/>
      <x:c r="R39" s="234"/>
      <x:c r="S39" s="234"/>
      <x:c r="T39" s="234"/>
      <x:c r="U39" s="234"/>
      <x:c r="V39" s="234"/>
      <x:c r="W39" s="234"/>
      <x:c r="X39" s="234"/>
      <x:c r="Y39" s="234"/>
      <x:c r="Z39" s="234"/>
    </x:row>
    <x:row r="40">
      <x:c r="A40" s="234"/>
      <x:c r="B40" s="234"/>
      <x:c r="C40" s="234"/>
      <x:c r="D40" s="234"/>
      <x:c r="E40" s="234"/>
      <x:c r="F40" s="234"/>
      <x:c r="G40" s="234"/>
      <x:c r="H40" s="234"/>
      <x:c r="I40" s="234"/>
      <x:c r="J40" s="234"/>
      <x:c r="K40" s="234"/>
      <x:c r="L40" s="234"/>
      <x:c r="M40" s="234"/>
      <x:c r="N40" s="234"/>
      <x:c r="O40" s="234"/>
      <x:c r="P40" s="234"/>
      <x:c r="Q40" s="234"/>
      <x:c r="R40" s="234"/>
      <x:c r="S40" s="234"/>
      <x:c r="T40" s="234"/>
      <x:c r="U40" s="234"/>
      <x:c r="V40" s="234"/>
      <x:c r="W40" s="234"/>
      <x:c r="X40" s="234"/>
      <x:c r="Y40" s="234"/>
      <x:c r="Z40" s="234"/>
    </x:row>
    <x:row r="41">
      <x:c r="A41" s="234"/>
      <x:c r="B41" s="234"/>
      <x:c r="C41" s="234"/>
      <x:c r="D41" s="234"/>
      <x:c r="E41" s="234"/>
      <x:c r="F41" s="234"/>
      <x:c r="G41" s="234"/>
      <x:c r="H41" s="234"/>
      <x:c r="I41" s="234"/>
      <x:c r="J41" s="234"/>
      <x:c r="K41" s="234"/>
      <x:c r="L41" s="234"/>
      <x:c r="M41" s="234"/>
      <x:c r="N41" s="234"/>
      <x:c r="O41" s="234"/>
      <x:c r="P41" s="234"/>
      <x:c r="Q41" s="234"/>
      <x:c r="R41" s="234"/>
      <x:c r="S41" s="234"/>
      <x:c r="T41" s="234"/>
      <x:c r="U41" s="234"/>
      <x:c r="V41" s="234"/>
      <x:c r="W41" s="234"/>
      <x:c r="X41" s="234"/>
      <x:c r="Y41" s="234"/>
      <x:c r="Z41" s="234"/>
    </x:row>
    <x:row r="42">
      <x:c r="A42" s="234"/>
      <x:c r="B42" s="234"/>
      <x:c r="C42" s="234"/>
      <x:c r="D42" s="234"/>
      <x:c r="E42" s="234"/>
      <x:c r="F42" s="234"/>
      <x:c r="G42" s="234"/>
      <x:c r="H42" s="234"/>
      <x:c r="I42" s="234"/>
      <x:c r="J42" s="234"/>
      <x:c r="K42" s="234"/>
      <x:c r="L42" s="234"/>
      <x:c r="M42" s="234"/>
      <x:c r="N42" s="234"/>
      <x:c r="O42" s="234"/>
      <x:c r="P42" s="234"/>
      <x:c r="Q42" s="234"/>
      <x:c r="R42" s="234"/>
      <x:c r="S42" s="234"/>
      <x:c r="T42" s="234"/>
      <x:c r="U42" s="234"/>
      <x:c r="V42" s="234"/>
      <x:c r="W42" s="234"/>
      <x:c r="X42" s="234"/>
      <x:c r="Y42" s="234"/>
      <x:c r="Z42" s="234"/>
    </x:row>
    <x:row r="43">
      <x:c r="A43" s="234"/>
      <x:c r="B43" s="234"/>
      <x:c r="C43" s="234"/>
      <x:c r="D43" s="234"/>
      <x:c r="E43" s="234"/>
      <x:c r="F43" s="234"/>
      <x:c r="G43" s="234"/>
      <x:c r="H43" s="234"/>
      <x:c r="I43" s="234"/>
      <x:c r="J43" s="234"/>
      <x:c r="K43" s="234"/>
      <x:c r="L43" s="234"/>
      <x:c r="M43" s="234"/>
      <x:c r="N43" s="234"/>
      <x:c r="O43" s="234"/>
      <x:c r="P43" s="234"/>
      <x:c r="Q43" s="234"/>
      <x:c r="R43" s="234"/>
      <x:c r="S43" s="234"/>
      <x:c r="T43" s="234"/>
      <x:c r="U43" s="234"/>
      <x:c r="V43" s="234"/>
      <x:c r="W43" s="234"/>
      <x:c r="X43" s="234"/>
      <x:c r="Y43" s="234"/>
      <x:c r="Z43" s="234"/>
    </x:row>
    <x:row r="44">
      <x:c r="A44" s="234"/>
      <x:c r="B44" s="234"/>
      <x:c r="C44" s="234"/>
      <x:c r="D44" s="234"/>
      <x:c r="E44" s="234"/>
      <x:c r="F44" s="234"/>
      <x:c r="G44" s="234"/>
      <x:c r="H44" s="234"/>
      <x:c r="I44" s="234"/>
      <x:c r="J44" s="234"/>
      <x:c r="K44" s="234"/>
      <x:c r="L44" s="234"/>
      <x:c r="M44" s="234"/>
      <x:c r="N44" s="234"/>
      <x:c r="O44" s="234"/>
      <x:c r="P44" s="234"/>
      <x:c r="Q44" s="234"/>
      <x:c r="R44" s="234"/>
      <x:c r="S44" s="234"/>
      <x:c r="T44" s="234"/>
      <x:c r="U44" s="234"/>
      <x:c r="V44" s="234"/>
      <x:c r="W44" s="234"/>
      <x:c r="X44" s="234"/>
      <x:c r="Y44" s="234"/>
      <x:c r="Z44" s="234"/>
    </x:row>
    <x:row r="45">
      <x:c r="A45" s="234"/>
      <x:c r="B45" s="234"/>
      <x:c r="C45" s="234"/>
      <x:c r="D45" s="234"/>
      <x:c r="E45" s="234"/>
      <x:c r="F45" s="234"/>
      <x:c r="G45" s="234"/>
      <x:c r="H45" s="234"/>
      <x:c r="I45" s="234"/>
      <x:c r="J45" s="234"/>
      <x:c r="K45" s="234"/>
      <x:c r="L45" s="234"/>
      <x:c r="M45" s="234"/>
      <x:c r="N45" s="234"/>
      <x:c r="O45" s="234"/>
      <x:c r="P45" s="234"/>
      <x:c r="Q45" s="234"/>
      <x:c r="R45" s="234"/>
      <x:c r="S45" s="234"/>
      <x:c r="T45" s="234"/>
      <x:c r="U45" s="234"/>
      <x:c r="V45" s="234"/>
      <x:c r="W45" s="234"/>
      <x:c r="X45" s="234"/>
      <x:c r="Y45" s="234"/>
      <x:c r="Z45" s="234"/>
    </x:row>
    <x:row r="46">
      <x:c r="A46" s="234"/>
      <x:c r="B46" s="234"/>
      <x:c r="C46" s="234"/>
      <x:c r="D46" s="234"/>
      <x:c r="E46" s="234"/>
      <x:c r="F46" s="234"/>
      <x:c r="G46" s="234"/>
      <x:c r="H46" s="234"/>
      <x:c r="I46" s="234"/>
      <x:c r="J46" s="234"/>
      <x:c r="K46" s="234"/>
      <x:c r="L46" s="234"/>
      <x:c r="M46" s="234"/>
      <x:c r="N46" s="234"/>
      <x:c r="O46" s="234"/>
      <x:c r="P46" s="234"/>
      <x:c r="Q46" s="234"/>
      <x:c r="R46" s="234"/>
      <x:c r="S46" s="234"/>
      <x:c r="T46" s="234"/>
      <x:c r="U46" s="234"/>
      <x:c r="V46" s="234"/>
      <x:c r="W46" s="234"/>
      <x:c r="X46" s="234"/>
      <x:c r="Y46" s="234"/>
      <x:c r="Z46" s="234"/>
    </x:row>
    <x:row r="47">
      <x:c r="A47" s="234"/>
      <x:c r="B47" s="234"/>
      <x:c r="C47" s="234"/>
      <x:c r="D47" s="234"/>
      <x:c r="E47" s="234"/>
      <x:c r="F47" s="234"/>
      <x:c r="G47" s="234"/>
      <x:c r="H47" s="234"/>
      <x:c r="I47" s="234"/>
      <x:c r="J47" s="234"/>
      <x:c r="K47" s="234"/>
      <x:c r="L47" s="234"/>
      <x:c r="M47" s="234"/>
      <x:c r="N47" s="234"/>
      <x:c r="O47" s="234"/>
      <x:c r="P47" s="234"/>
      <x:c r="Q47" s="234"/>
      <x:c r="R47" s="234"/>
      <x:c r="S47" s="234"/>
      <x:c r="T47" s="234"/>
      <x:c r="U47" s="234"/>
      <x:c r="V47" s="234"/>
      <x:c r="W47" s="234"/>
      <x:c r="X47" s="234"/>
      <x:c r="Y47" s="234"/>
      <x:c r="Z47" s="234"/>
    </x:row>
    <x:row r="48">
      <x:c r="A48" s="234"/>
      <x:c r="B48" s="234"/>
      <x:c r="C48" s="234"/>
      <x:c r="D48" s="234"/>
      <x:c r="E48" s="234"/>
      <x:c r="F48" s="234"/>
      <x:c r="G48" s="234"/>
      <x:c r="H48" s="234"/>
      <x:c r="I48" s="234"/>
      <x:c r="J48" s="234"/>
      <x:c r="K48" s="234"/>
      <x:c r="L48" s="234"/>
      <x:c r="M48" s="234"/>
      <x:c r="N48" s="234"/>
      <x:c r="O48" s="234"/>
      <x:c r="P48" s="234"/>
      <x:c r="Q48" s="234"/>
      <x:c r="R48" s="234"/>
      <x:c r="S48" s="234"/>
      <x:c r="T48" s="234"/>
      <x:c r="U48" s="234"/>
      <x:c r="V48" s="234"/>
      <x:c r="W48" s="234"/>
      <x:c r="X48" s="234"/>
      <x:c r="Y48" s="234"/>
      <x:c r="Z48" s="234"/>
    </x:row>
    <x:row r="49">
      <x:c r="A49" s="234"/>
      <x:c r="B49" s="234"/>
      <x:c r="C49" s="234"/>
      <x:c r="D49" s="234"/>
      <x:c r="E49" s="234"/>
      <x:c r="F49" s="234"/>
      <x:c r="G49" s="234"/>
      <x:c r="H49" s="234"/>
      <x:c r="I49" s="234"/>
      <x:c r="J49" s="234"/>
      <x:c r="K49" s="234"/>
      <x:c r="L49" s="234"/>
      <x:c r="M49" s="234"/>
      <x:c r="N49" s="234"/>
      <x:c r="O49" s="234"/>
      <x:c r="P49" s="234"/>
      <x:c r="Q49" s="234"/>
      <x:c r="R49" s="234"/>
      <x:c r="S49" s="234"/>
      <x:c r="T49" s="234"/>
      <x:c r="U49" s="234"/>
      <x:c r="V49" s="234"/>
      <x:c r="W49" s="234"/>
      <x:c r="X49" s="234"/>
      <x:c r="Y49" s="234"/>
      <x:c r="Z49" s="234"/>
    </x:row>
    <x:row r="50">
      <x:c r="A50" s="234"/>
      <x:c r="B50" s="234"/>
      <x:c r="C50" s="234"/>
      <x:c r="D50" s="234"/>
      <x:c r="E50" s="234"/>
      <x:c r="F50" s="234"/>
      <x:c r="G50" s="234"/>
      <x:c r="H50" s="234"/>
      <x:c r="I50" s="234"/>
      <x:c r="J50" s="234"/>
      <x:c r="K50" s="234"/>
      <x:c r="L50" s="234"/>
      <x:c r="M50" s="234"/>
      <x:c r="N50" s="234"/>
      <x:c r="O50" s="234"/>
      <x:c r="P50" s="234"/>
      <x:c r="Q50" s="234"/>
      <x:c r="R50" s="234"/>
      <x:c r="S50" s="234"/>
      <x:c r="T50" s="234"/>
      <x:c r="U50" s="234"/>
      <x:c r="V50" s="234"/>
      <x:c r="W50" s="234"/>
      <x:c r="X50" s="234"/>
      <x:c r="Y50" s="234"/>
      <x:c r="Z50" s="234"/>
    </x:row>
    <x:row r="51">
      <x:c r="A51" s="234"/>
      <x:c r="B51" s="234"/>
      <x:c r="C51" s="234"/>
      <x:c r="D51" s="234"/>
      <x:c r="E51" s="234"/>
      <x:c r="F51" s="234"/>
      <x:c r="G51" s="234"/>
      <x:c r="H51" s="234"/>
      <x:c r="I51" s="234"/>
      <x:c r="J51" s="234"/>
      <x:c r="K51" s="234"/>
      <x:c r="L51" s="234"/>
      <x:c r="M51" s="234"/>
      <x:c r="N51" s="234"/>
      <x:c r="O51" s="234"/>
      <x:c r="P51" s="234"/>
      <x:c r="Q51" s="234"/>
      <x:c r="R51" s="234"/>
      <x:c r="S51" s="234"/>
      <x:c r="T51" s="234"/>
      <x:c r="U51" s="234"/>
      <x:c r="V51" s="234"/>
      <x:c r="W51" s="234"/>
      <x:c r="X51" s="234"/>
      <x:c r="Y51" s="234"/>
      <x:c r="Z51" s="234"/>
    </x:row>
    <x:row r="52">
      <x:c r="A52" s="234"/>
      <x:c r="B52" s="234"/>
      <x:c r="C52" s="234"/>
      <x:c r="D52" s="234"/>
      <x:c r="E52" s="234"/>
      <x:c r="F52" s="234"/>
      <x:c r="G52" s="234"/>
      <x:c r="H52" s="234"/>
      <x:c r="I52" s="234"/>
      <x:c r="J52" s="234"/>
      <x:c r="K52" s="234"/>
      <x:c r="L52" s="234"/>
      <x:c r="M52" s="234"/>
      <x:c r="N52" s="234"/>
      <x:c r="O52" s="234"/>
      <x:c r="P52" s="234"/>
      <x:c r="Q52" s="234"/>
      <x:c r="R52" s="234"/>
      <x:c r="S52" s="234"/>
      <x:c r="T52" s="234"/>
      <x:c r="U52" s="234"/>
      <x:c r="V52" s="234"/>
      <x:c r="W52" s="234"/>
      <x:c r="X52" s="234"/>
      <x:c r="Y52" s="234"/>
      <x:c r="Z52" s="234"/>
    </x:row>
    <x:row r="53">
      <x:c r="A53" s="234"/>
      <x:c r="B53" s="234"/>
      <x:c r="C53" s="234"/>
      <x:c r="D53" s="234"/>
      <x:c r="E53" s="234"/>
      <x:c r="F53" s="234"/>
      <x:c r="G53" s="234"/>
      <x:c r="H53" s="234"/>
      <x:c r="I53" s="234"/>
      <x:c r="J53" s="234"/>
      <x:c r="K53" s="234"/>
      <x:c r="L53" s="234"/>
      <x:c r="M53" s="234"/>
      <x:c r="N53" s="234"/>
      <x:c r="O53" s="234"/>
      <x:c r="P53" s="234"/>
      <x:c r="Q53" s="234"/>
      <x:c r="R53" s="234"/>
      <x:c r="S53" s="234"/>
      <x:c r="T53" s="234"/>
      <x:c r="U53" s="234"/>
      <x:c r="V53" s="234"/>
      <x:c r="W53" s="234"/>
      <x:c r="X53" s="234"/>
      <x:c r="Y53" s="234"/>
      <x:c r="Z53" s="234"/>
    </x:row>
    <x:row r="54">
      <x:c r="A54" s="234"/>
      <x:c r="B54" s="234"/>
      <x:c r="C54" s="234"/>
      <x:c r="D54" s="234"/>
      <x:c r="E54" s="234"/>
      <x:c r="F54" s="234"/>
      <x:c r="G54" s="234"/>
      <x:c r="H54" s="234"/>
      <x:c r="I54" s="234"/>
      <x:c r="J54" s="234"/>
      <x:c r="K54" s="234"/>
      <x:c r="L54" s="234"/>
      <x:c r="M54" s="234"/>
      <x:c r="N54" s="234"/>
      <x:c r="O54" s="234"/>
      <x:c r="P54" s="234"/>
      <x:c r="Q54" s="234"/>
      <x:c r="R54" s="234"/>
      <x:c r="S54" s="234"/>
      <x:c r="T54" s="234"/>
      <x:c r="U54" s="234"/>
      <x:c r="V54" s="234"/>
      <x:c r="W54" s="234"/>
      <x:c r="X54" s="234"/>
      <x:c r="Y54" s="234"/>
      <x:c r="Z54" s="234"/>
    </x:row>
    <x:row r="55">
      <x:c r="A55" s="234"/>
      <x:c r="B55" s="234"/>
      <x:c r="C55" s="234"/>
      <x:c r="D55" s="234"/>
      <x:c r="E55" s="234"/>
      <x:c r="F55" s="234"/>
      <x:c r="G55" s="234"/>
      <x:c r="H55" s="234"/>
      <x:c r="I55" s="234"/>
      <x:c r="J55" s="234"/>
      <x:c r="K55" s="234"/>
      <x:c r="L55" s="234"/>
      <x:c r="M55" s="234"/>
      <x:c r="N55" s="234"/>
      <x:c r="O55" s="234"/>
      <x:c r="P55" s="234"/>
      <x:c r="Q55" s="234"/>
      <x:c r="R55" s="234"/>
      <x:c r="S55" s="234"/>
      <x:c r="T55" s="234"/>
      <x:c r="U55" s="234"/>
      <x:c r="V55" s="234"/>
      <x:c r="W55" s="234"/>
      <x:c r="X55" s="234"/>
      <x:c r="Y55" s="234"/>
      <x:c r="Z55" s="234"/>
    </x:row>
    <x:row r="56">
      <x:c r="A56" s="234"/>
      <x:c r="B56" s="234"/>
      <x:c r="C56" s="234"/>
      <x:c r="D56" s="234"/>
      <x:c r="E56" s="234"/>
      <x:c r="F56" s="234"/>
      <x:c r="G56" s="234"/>
      <x:c r="H56" s="234"/>
      <x:c r="I56" s="234"/>
      <x:c r="J56" s="234"/>
      <x:c r="K56" s="234"/>
      <x:c r="L56" s="234"/>
      <x:c r="M56" s="234"/>
      <x:c r="N56" s="234"/>
      <x:c r="O56" s="234"/>
      <x:c r="P56" s="234"/>
      <x:c r="Q56" s="234"/>
      <x:c r="R56" s="234"/>
      <x:c r="S56" s="234"/>
      <x:c r="T56" s="234"/>
      <x:c r="U56" s="234"/>
      <x:c r="V56" s="234"/>
      <x:c r="W56" s="234"/>
      <x:c r="X56" s="234"/>
      <x:c r="Y56" s="234"/>
      <x:c r="Z56" s="234"/>
    </x:row>
    <x:row r="57">
      <x:c r="A57" s="234"/>
      <x:c r="B57" s="234"/>
      <x:c r="C57" s="234"/>
      <x:c r="D57" s="234"/>
      <x:c r="E57" s="234"/>
      <x:c r="F57" s="234"/>
      <x:c r="G57" s="234"/>
      <x:c r="H57" s="234"/>
      <x:c r="I57" s="234"/>
      <x:c r="J57" s="234"/>
      <x:c r="K57" s="234"/>
      <x:c r="L57" s="234"/>
      <x:c r="M57" s="234"/>
      <x:c r="N57" s="234"/>
      <x:c r="O57" s="234"/>
      <x:c r="P57" s="234"/>
      <x:c r="Q57" s="234"/>
      <x:c r="R57" s="234"/>
      <x:c r="S57" s="234"/>
      <x:c r="T57" s="234"/>
      <x:c r="U57" s="234"/>
      <x:c r="V57" s="234"/>
      <x:c r="W57" s="234"/>
      <x:c r="X57" s="234"/>
      <x:c r="Y57" s="234"/>
      <x:c r="Z57" s="234"/>
    </x:row>
    <x:row r="58">
      <x:c r="A58" s="234"/>
      <x:c r="B58" s="234"/>
      <x:c r="C58" s="234"/>
      <x:c r="D58" s="234"/>
      <x:c r="E58" s="234"/>
      <x:c r="F58" s="234"/>
      <x:c r="G58" s="234"/>
      <x:c r="H58" s="234"/>
      <x:c r="I58" s="234"/>
      <x:c r="J58" s="234"/>
      <x:c r="K58" s="234"/>
      <x:c r="L58" s="234"/>
      <x:c r="M58" s="234"/>
      <x:c r="N58" s="234"/>
      <x:c r="O58" s="234"/>
      <x:c r="P58" s="234"/>
      <x:c r="Q58" s="234"/>
      <x:c r="R58" s="234"/>
      <x:c r="S58" s="234"/>
      <x:c r="T58" s="234"/>
      <x:c r="U58" s="234"/>
      <x:c r="V58" s="234"/>
      <x:c r="W58" s="234"/>
      <x:c r="X58" s="234"/>
      <x:c r="Y58" s="234"/>
      <x:c r="Z58" s="234"/>
    </x:row>
    <x:row r="59">
      <x:c r="A59" s="234"/>
      <x:c r="B59" s="234"/>
      <x:c r="C59" s="234"/>
      <x:c r="D59" s="234"/>
      <x:c r="E59" s="234"/>
      <x:c r="F59" s="234"/>
      <x:c r="G59" s="234"/>
      <x:c r="H59" s="234"/>
      <x:c r="I59" s="234"/>
      <x:c r="J59" s="234"/>
      <x:c r="K59" s="234"/>
      <x:c r="L59" s="234"/>
      <x:c r="M59" s="234"/>
      <x:c r="N59" s="234"/>
      <x:c r="O59" s="234"/>
      <x:c r="P59" s="234"/>
      <x:c r="Q59" s="234"/>
      <x:c r="R59" s="234"/>
      <x:c r="S59" s="234"/>
      <x:c r="T59" s="234"/>
      <x:c r="U59" s="234"/>
      <x:c r="V59" s="234"/>
      <x:c r="W59" s="234"/>
      <x:c r="X59" s="234"/>
      <x:c r="Y59" s="234"/>
      <x:c r="Z59" s="234"/>
    </x:row>
    <x:row r="60">
      <x:c r="A60" s="234"/>
      <x:c r="B60" s="234"/>
      <x:c r="C60" s="234"/>
      <x:c r="D60" s="234"/>
      <x:c r="E60" s="234"/>
      <x:c r="F60" s="234"/>
      <x:c r="G60" s="234"/>
      <x:c r="H60" s="234"/>
      <x:c r="I60" s="234"/>
      <x:c r="J60" s="234"/>
      <x:c r="K60" s="234"/>
      <x:c r="L60" s="234"/>
      <x:c r="M60" s="234"/>
      <x:c r="N60" s="234"/>
      <x:c r="O60" s="234"/>
      <x:c r="P60" s="234"/>
      <x:c r="Q60" s="234"/>
      <x:c r="R60" s="234"/>
      <x:c r="S60" s="234"/>
      <x:c r="T60" s="234"/>
      <x:c r="U60" s="234"/>
      <x:c r="V60" s="234"/>
      <x:c r="W60" s="234"/>
      <x:c r="X60" s="234"/>
      <x:c r="Y60" s="234"/>
      <x:c r="Z60" s="234"/>
    </x:row>
  </x:sheetData>
  <x:mergeCells>
    <x:mergeCell ref="A1:H1"/>
    <x:mergeCell ref="A3:D3"/>
    <x:mergeCell ref="A12:H12"/>
    <x:mergeCell ref="A22:D2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4" hidden="0" customWidth="1"/>
    <x:col min="4" max="4" width="14" hidden="0" customWidth="1"/>
    <x:col min="5" max="5" width="35" hidden="0" customWidth="1"/>
    <x:col min="6" max="6" width="12" hidden="0" customWidth="1"/>
    <x:col min="7" max="7" width="60" hidden="0" customWidth="1"/>
  </x:cols>
  <x:sheetData>
    <x:row r="1" ht="28" customHeight="1">
      <x:c r="A1" s="26" t="str">
        <x:v>Comparable Company Valuation | FY2024 Multiples</x:v>
      </x:c>
      <x:c r="B1" s="26" t="str">
        <x:v>Comparable Company Valuation | FY2024 Multiples</x:v>
      </x:c>
      <x:c r="C1" s="26" t="str">
        <x:v>Comparable Company Valuation | FY2024 Multiples</x:v>
      </x:c>
      <x:c r="D1" s="26" t="str">
        <x:v>Comparable Company Valuation | FY2024 Multiples</x:v>
      </x:c>
      <x:c r="E1" s="26" t="str">
        <x:v>Comparable Company Valuation | FY2024 Multiples</x:v>
      </x:c>
      <x:c r="F1" s="26" t="str">
        <x:v>Comparable Company Valuation | FY2024 Multiples</x:v>
      </x:c>
      <x:c r="G1" s="26" t="str">
        <x:v>Comparable Company Valuation | FY2024 Multiples</x:v>
      </x:c>
      <x:c r="H1" s="234"/>
      <x:c r="I1" s="234"/>
      <x:c r="J1" s="234"/>
      <x:c r="K1" s="234"/>
      <x:c r="L1" s="234"/>
      <x:c r="M1" s="234"/>
      <x:c r="N1" s="234"/>
      <x:c r="O1" s="234"/>
      <x:c r="P1" s="234"/>
      <x:c r="Q1" s="234"/>
      <x:c r="R1" s="234"/>
      <x:c r="S1" s="234"/>
      <x:c r="T1" s="234"/>
      <x:c r="U1" s="234"/>
      <x:c r="V1" s="234"/>
      <x:c r="W1" s="234"/>
      <x:c r="X1" s="234"/>
      <x:c r="Y1" s="234"/>
      <x:c r="Z1" s="234"/>
    </x:row>
    <x:row r="2">
      <x:c r="A2" s="235"/>
      <x:c r="B2" s="235"/>
      <x:c r="C2" s="235"/>
      <x:c r="D2" s="235"/>
      <x:c r="E2" s="235"/>
      <x:c r="F2" s="235"/>
      <x:c r="G2" s="235"/>
      <x:c r="H2" s="234"/>
      <x:c r="I2" s="234"/>
      <x:c r="J2" s="234"/>
      <x:c r="K2" s="234"/>
      <x:c r="L2" s="234"/>
      <x:c r="M2" s="234"/>
      <x:c r="N2" s="234"/>
      <x:c r="O2" s="234"/>
      <x:c r="P2" s="234"/>
      <x:c r="Q2" s="234"/>
      <x:c r="R2" s="234"/>
      <x:c r="S2" s="234"/>
      <x:c r="T2" s="234"/>
      <x:c r="U2" s="234"/>
      <x:c r="V2" s="234"/>
      <x:c r="W2" s="234"/>
      <x:c r="X2" s="234"/>
      <x:c r="Y2" s="234"/>
      <x:c r="Z2" s="234"/>
    </x:row>
    <x:row r="3" ht="21" customHeight="1">
      <x:c r="A3" s="58" t="str">
        <x:v>Peer Trading Multiples</x:v>
      </x:c>
      <x:c r="B3" s="58" t="str">
        <x:v>Peer Trading Multiples</x:v>
      </x:c>
      <x:c r="C3" s="58" t="str">
        <x:v>Peer Trading Multiples</x:v>
      </x:c>
      <x:c r="D3" s="58" t="str">
        <x:v>Peer Trading Multiples</x:v>
      </x:c>
      <x:c r="E3" s="58" t="str">
        <x:v>Peer Trading Multiples</x:v>
      </x:c>
      <x:c r="F3" s="58" t="str">
        <x:v>Peer Trading Multiples</x:v>
      </x:c>
      <x:c r="G3" s="58" t="str">
        <x:v>Peer Trading Multiples</x:v>
      </x:c>
      <x:c r="H3" s="234"/>
      <x:c r="I3" s="234"/>
      <x:c r="J3" s="234"/>
      <x:c r="K3" s="234"/>
      <x:c r="L3" s="234"/>
      <x:c r="M3" s="234"/>
      <x:c r="N3" s="234"/>
      <x:c r="O3" s="234"/>
      <x:c r="P3" s="234"/>
      <x:c r="Q3" s="234"/>
      <x:c r="R3" s="234"/>
      <x:c r="S3" s="234"/>
      <x:c r="T3" s="234"/>
      <x:c r="U3" s="234"/>
      <x:c r="V3" s="234"/>
      <x:c r="W3" s="234"/>
      <x:c r="X3" s="234"/>
      <x:c r="Y3" s="234"/>
      <x:c r="Z3" s="234"/>
    </x:row>
    <x:row r="4">
      <x:c r="A4" s="28" t="str">
        <x:v>Company</x:v>
      </x:c>
      <x:c r="B4" s="28" t="str">
        <x:v>Ticker / Market</x:v>
      </x:c>
      <x:c r="C4" s="28" t="str">
        <x:v>P/E</x:v>
      </x:c>
      <x:c r="D4" s="28" t="str">
        <x:v>EV / EBITDA</x:v>
      </x:c>
      <x:c r="E4" s="28" t="str">
        <x:v>Comment</x:v>
      </x:c>
      <x:c r="F4" s="28" t="str">
        <x:v>Source ID</x:v>
      </x:c>
      <x:c r="G4" s="28" t="str">
        <x:v>Source URL</x:v>
      </x:c>
      <x:c r="H4" s="234"/>
      <x:c r="I4" s="234"/>
      <x:c r="J4" s="234"/>
      <x:c r="K4" s="234"/>
      <x:c r="L4" s="234"/>
      <x:c r="M4" s="234"/>
      <x:c r="N4" s="234"/>
      <x:c r="O4" s="234"/>
      <x:c r="P4" s="234"/>
      <x:c r="Q4" s="234"/>
      <x:c r="R4" s="234"/>
      <x:c r="S4" s="234"/>
      <x:c r="T4" s="234"/>
      <x:c r="U4" s="234"/>
      <x:c r="V4" s="234"/>
      <x:c r="W4" s="234"/>
      <x:c r="X4" s="234"/>
      <x:c r="Y4" s="234"/>
      <x:c r="Z4" s="234"/>
    </x:row>
    <x:row r="5">
      <x:c r="A5" s="235" t="str">
        <x:v>Procter &amp; Gamble</x:v>
      </x:c>
      <x:c r="B5" s="235" t="str">
        <x:v>PG / NYSE</x:v>
      </x:c>
      <x:c r="C5" s="310" t="n">
        <x:v>26.67</x:v>
      </x:c>
      <x:c r="D5" s="310" t="n">
        <x:v>17.72</x:v>
      </x:c>
      <x:c r="E5" s="235" t="str">
        <x:v>Global household &amp; personal care</x:v>
      </x:c>
      <x:c r="F5" s="273" t="str">
        <x:v>PG</x:v>
      </x:c>
      <x:c r="G5" s="273" t="str">
        <x:v>https://stockanalysis.com/stocks/pg/financials/ratios/</x:v>
      </x:c>
      <x:c r="H5" s="234"/>
      <x:c r="I5" s="234"/>
      <x:c r="J5" s="234"/>
      <x:c r="K5" s="234"/>
      <x:c r="L5" s="234"/>
      <x:c r="M5" s="234"/>
      <x:c r="N5" s="234"/>
      <x:c r="O5" s="234"/>
      <x:c r="P5" s="234"/>
      <x:c r="Q5" s="234"/>
      <x:c r="R5" s="234"/>
      <x:c r="S5" s="234"/>
      <x:c r="T5" s="234"/>
      <x:c r="U5" s="234"/>
      <x:c r="V5" s="234"/>
      <x:c r="W5" s="234"/>
      <x:c r="X5" s="234"/>
      <x:c r="Y5" s="234"/>
      <x:c r="Z5" s="234"/>
    </x:row>
    <x:row r="6">
      <x:c r="A6" s="235" t="str">
        <x:v>Colgate-Palmolive</x:v>
      </x:c>
      <x:c r="B6" s="235" t="str">
        <x:v>CL / NYSE</x:v>
      </x:c>
      <x:c r="C6" s="310" t="n">
        <x:v>25.71</x:v>
      </x:c>
      <x:c r="D6" s="310" t="n">
        <x:v>16.81</x:v>
      </x:c>
      <x:c r="E6" s="235" t="str">
        <x:v>Oral/personal/home care</x:v>
      </x:c>
      <x:c r="F6" s="273" t="str">
        <x:v>CL</x:v>
      </x:c>
      <x:c r="G6" s="273" t="str">
        <x:v>https://stockanalysis.com/stocks/cl/financials/ratios/</x:v>
      </x:c>
      <x:c r="H6" s="234"/>
      <x:c r="I6" s="234"/>
      <x:c r="J6" s="234"/>
      <x:c r="K6" s="234"/>
      <x:c r="L6" s="234"/>
      <x:c r="M6" s="234"/>
      <x:c r="N6" s="234"/>
      <x:c r="O6" s="234"/>
      <x:c r="P6" s="234"/>
      <x:c r="Q6" s="234"/>
      <x:c r="R6" s="234"/>
      <x:c r="S6" s="234"/>
      <x:c r="T6" s="234"/>
      <x:c r="U6" s="234"/>
      <x:c r="V6" s="234"/>
      <x:c r="W6" s="234"/>
      <x:c r="X6" s="234"/>
      <x:c r="Y6" s="234"/>
      <x:c r="Z6" s="234"/>
    </x:row>
    <x:row r="7">
      <x:c r="A7" s="235" t="str">
        <x:v>Reckitt</x:v>
      </x:c>
      <x:c r="B7" s="235" t="str">
        <x:v>RKT / LSE</x:v>
      </x:c>
      <x:c r="C7" s="310" t="n">
        <x:v>23.27</x:v>
      </x:c>
      <x:c r="D7" s="310" t="n">
        <x:v>11.03</x:v>
      </x:c>
      <x:c r="E7" s="235" t="str">
        <x:v>Consumer health &amp; hygiene</x:v>
      </x:c>
      <x:c r="F7" s="273" t="str">
        <x:v>RKT</x:v>
      </x:c>
      <x:c r="G7" s="273" t="str">
        <x:v>https://stockanalysis.com/quote/lon/RKT/financials/ratios/</x:v>
      </x:c>
      <x:c r="H7" s="234"/>
      <x:c r="I7" s="234"/>
      <x:c r="J7" s="234"/>
      <x:c r="K7" s="234"/>
      <x:c r="L7" s="234"/>
      <x:c r="M7" s="234"/>
      <x:c r="N7" s="234"/>
      <x:c r="O7" s="234"/>
      <x:c r="P7" s="234"/>
      <x:c r="Q7" s="234"/>
      <x:c r="R7" s="234"/>
      <x:c r="S7" s="234"/>
      <x:c r="T7" s="234"/>
      <x:c r="U7" s="234"/>
      <x:c r="V7" s="234"/>
      <x:c r="W7" s="234"/>
      <x:c r="X7" s="234"/>
      <x:c r="Y7" s="234"/>
      <x:c r="Z7" s="234"/>
    </x:row>
    <x:row r="8">
      <x:c r="A8" s="235" t="str">
        <x:v>Danone</x:v>
      </x:c>
      <x:c r="B8" s="235" t="str">
        <x:v>BN / EPA</x:v>
      </x:c>
      <x:c r="C8" s="310" t="n">
        <x:v>20.78</x:v>
      </x:c>
      <x:c r="D8" s="310" t="n">
        <x:v>11.79</x:v>
      </x:c>
      <x:c r="E8" s="235" t="str">
        <x:v>Branded food / nutrition</x:v>
      </x:c>
      <x:c r="F8" s="273" t="str">
        <x:v>BN</x:v>
      </x:c>
      <x:c r="G8" s="273" t="str">
        <x:v>https://stockanalysis.com/quote/epa/BN/financials/ratios/</x:v>
      </x:c>
      <x:c r="H8" s="234"/>
      <x:c r="I8" s="234"/>
      <x:c r="J8" s="234"/>
      <x:c r="K8" s="234"/>
      <x:c r="L8" s="234"/>
      <x:c r="M8" s="234"/>
      <x:c r="N8" s="234"/>
      <x:c r="O8" s="234"/>
      <x:c r="P8" s="234"/>
      <x:c r="Q8" s="234"/>
      <x:c r="R8" s="234"/>
      <x:c r="S8" s="234"/>
      <x:c r="T8" s="234"/>
      <x:c r="U8" s="234"/>
      <x:c r="V8" s="234"/>
      <x:c r="W8" s="234"/>
      <x:c r="X8" s="234"/>
      <x:c r="Y8" s="234"/>
      <x:c r="Z8" s="234"/>
    </x:row>
    <x:row r="9">
      <x:c r="A9" s="235" t="str">
        <x:v>Nestlé</x:v>
      </x:c>
      <x:c r="B9" s="235" t="str">
        <x:v>NESN / SWX</x:v>
      </x:c>
      <x:c r="C9" s="310" t="n">
        <x:v>17.69</x:v>
      </x:c>
      <x:c r="D9" s="310" t="n">
        <x:v>13.92</x:v>
      </x:c>
      <x:c r="E9" s="235" t="str">
        <x:v>Global branded food</x:v>
      </x:c>
      <x:c r="F9" s="273" t="str">
        <x:v>NESN</x:v>
      </x:c>
      <x:c r="G9" s="273" t="str">
        <x:v>https://stockanalysis.com/quote/swx/NESN/financials/ratios/</x:v>
      </x:c>
      <x:c r="H9" s="234"/>
      <x:c r="I9" s="234"/>
      <x:c r="J9" s="234"/>
      <x:c r="K9" s="234"/>
      <x:c r="L9" s="234"/>
      <x:c r="M9" s="234"/>
      <x:c r="N9" s="234"/>
      <x:c r="O9" s="234"/>
      <x:c r="P9" s="234"/>
      <x:c r="Q9" s="234"/>
      <x:c r="R9" s="234"/>
      <x:c r="S9" s="234"/>
      <x:c r="T9" s="234"/>
      <x:c r="U9" s="234"/>
      <x:c r="V9" s="234"/>
      <x:c r="W9" s="234"/>
      <x:c r="X9" s="234"/>
      <x:c r="Y9" s="234"/>
      <x:c r="Z9" s="234"/>
    </x:row>
    <x:row r="10">
      <x:c r="A10" s="311" t="str">
        <x:v>Median</x:v>
      </x:c>
      <x:c r="B10" s="311" t="str"/>
      <x:c r="C10" s="312" t="n">
        <x:f>MEDIAN(C5:C9)</x:f>
        <x:v>23.27</x:v>
      </x:c>
      <x:c r="D10" s="312" t="n">
        <x:f>MEDIAN(D5:D9)</x:f>
        <x:v>13.92</x:v>
      </x:c>
      <x:c r="E10" s="235" t="str"/>
      <x:c r="F10" s="235" t="str"/>
      <x:c r="G10" s="235" t="str"/>
      <x:c r="H10" s="234"/>
      <x:c r="I10" s="234"/>
      <x:c r="J10" s="234"/>
      <x:c r="K10" s="234"/>
      <x:c r="L10" s="234"/>
      <x:c r="M10" s="234"/>
      <x:c r="N10" s="234"/>
      <x:c r="O10" s="234"/>
      <x:c r="P10" s="234"/>
      <x:c r="Q10" s="234"/>
      <x:c r="R10" s="234"/>
      <x:c r="S10" s="234"/>
      <x:c r="T10" s="234"/>
      <x:c r="U10" s="234"/>
      <x:c r="V10" s="234"/>
      <x:c r="W10" s="234"/>
      <x:c r="X10" s="234"/>
      <x:c r="Y10" s="234"/>
      <x:c r="Z10" s="234"/>
    </x:row>
    <x:row r="11">
      <x:c r="A11" s="235"/>
      <x:c r="B11" s="235"/>
      <x:c r="C11" s="235"/>
      <x:c r="D11" s="235"/>
      <x:c r="E11" s="235"/>
      <x:c r="F11" s="235"/>
      <x:c r="G11" s="235"/>
      <x:c r="H11" s="234"/>
      <x:c r="I11" s="234"/>
      <x:c r="J11" s="234"/>
      <x:c r="K11" s="234"/>
      <x:c r="L11" s="234"/>
      <x:c r="M11" s="234"/>
      <x:c r="N11" s="234"/>
      <x:c r="O11" s="234"/>
      <x:c r="P11" s="234"/>
      <x:c r="Q11" s="234"/>
      <x:c r="R11" s="234"/>
      <x:c r="S11" s="234"/>
      <x:c r="T11" s="234"/>
      <x:c r="U11" s="234"/>
      <x:c r="V11" s="234"/>
      <x:c r="W11" s="234"/>
      <x:c r="X11" s="234"/>
      <x:c r="Y11" s="234"/>
      <x:c r="Z11" s="234"/>
    </x:row>
    <x:row r="12" ht="21" customHeight="1">
      <x:c r="A12" s="58" t="str">
        <x:v>Implied Unilever Equity Value</x:v>
      </x:c>
      <x:c r="B12" s="58" t="str">
        <x:v>Implied Unilever Equity Value</x:v>
      </x:c>
      <x:c r="C12" s="58" t="str">
        <x:v>Implied Unilever Equity Value</x:v>
      </x:c>
      <x:c r="D12" s="58" t="str">
        <x:v>Implied Unilever Equity Value</x:v>
      </x:c>
      <x:c r="E12" s="58" t="str">
        <x:v>Implied Unilever Equity Value</x:v>
      </x:c>
      <x:c r="F12" s="235"/>
      <x:c r="G12" s="235"/>
      <x:c r="H12" s="234"/>
      <x:c r="I12" s="234"/>
      <x:c r="J12" s="234"/>
      <x:c r="K12" s="234"/>
      <x:c r="L12" s="234"/>
      <x:c r="M12" s="234"/>
      <x:c r="N12" s="234"/>
      <x:c r="O12" s="234"/>
      <x:c r="P12" s="234"/>
      <x:c r="Q12" s="234"/>
      <x:c r="R12" s="234"/>
      <x:c r="S12" s="234"/>
      <x:c r="T12" s="234"/>
      <x:c r="U12" s="234"/>
      <x:c r="V12" s="234"/>
      <x:c r="W12" s="234"/>
      <x:c r="X12" s="234"/>
      <x:c r="Y12" s="234"/>
      <x:c r="Z12" s="234"/>
    </x:row>
    <x:row r="13">
      <x:c r="A13" s="28" t="str">
        <x:v>Method</x:v>
      </x:c>
      <x:c r="B13" s="28" t="str">
        <x:v>Input</x:v>
      </x:c>
      <x:c r="C13" s="28" t="str">
        <x:v>Multiple</x:v>
      </x:c>
      <x:c r="D13" s="28" t="str">
        <x:v>Implied Value</x:v>
      </x:c>
      <x:c r="E13" s="28" t="str">
        <x:v>Notes</x:v>
      </x:c>
      <x:c r="F13" s="235"/>
      <x:c r="G13" s="235"/>
      <x:c r="H13" s="234"/>
      <x:c r="I13" s="234"/>
      <x:c r="J13" s="234"/>
      <x:c r="K13" s="234"/>
      <x:c r="L13" s="234"/>
      <x:c r="M13" s="234"/>
      <x:c r="N13" s="234"/>
      <x:c r="O13" s="234"/>
      <x:c r="P13" s="234"/>
      <x:c r="Q13" s="234"/>
      <x:c r="R13" s="234"/>
      <x:c r="S13" s="234"/>
      <x:c r="T13" s="234"/>
      <x:c r="U13" s="234"/>
      <x:c r="V13" s="234"/>
      <x:c r="W13" s="234"/>
      <x:c r="X13" s="234"/>
      <x:c r="Y13" s="234"/>
      <x:c r="Z13" s="234"/>
    </x:row>
    <x:row r="14">
      <x:c r="A14" s="235" t="str">
        <x:v>P/E</x:v>
      </x:c>
      <x:c r="B14" s="346" t="n">
        <x:f>Historicals!G14</x:f>
        <x:v>2.29</x:v>
      </x:c>
      <x:c r="C14" s="313" t="n">
        <x:f>C10</x:f>
        <x:v>23.27</x:v>
      </x:c>
      <x:c r="D14" s="244" t="n">
        <x:f>B14*C14</x:f>
        <x:v>53.2883</x:v>
      </x:c>
      <x:c r="E14" s="235" t="str">
        <x:v>Uses reported diluted EPS €2.29</x:v>
      </x:c>
      <x:c r="F14" s="235"/>
      <x:c r="G14" s="235"/>
      <x:c r="H14" s="234"/>
      <x:c r="I14" s="234"/>
      <x:c r="J14" s="234"/>
      <x:c r="K14" s="234"/>
      <x:c r="L14" s="234"/>
      <x:c r="M14" s="234"/>
      <x:c r="N14" s="234"/>
      <x:c r="O14" s="234"/>
      <x:c r="P14" s="234"/>
      <x:c r="Q14" s="234"/>
      <x:c r="R14" s="234"/>
      <x:c r="S14" s="234"/>
      <x:c r="T14" s="234"/>
      <x:c r="U14" s="234"/>
      <x:c r="V14" s="234"/>
      <x:c r="W14" s="234"/>
      <x:c r="X14" s="234"/>
      <x:c r="Y14" s="234"/>
      <x:c r="Z14" s="234"/>
    </x:row>
    <x:row r="15">
      <x:c r="A15" s="235" t="str">
        <x:v>EV / EBITDA</x:v>
      </x:c>
      <x:c r="B15" s="248" t="n">
        <x:v>12.803</x:v>
      </x:c>
      <x:c r="C15" s="313" t="n">
        <x:f>D10</x:f>
        <x:v>13.92</x:v>
      </x:c>
      <x:c r="D15" s="243" t="n">
        <x:f>(B15*C15-DCF!B12-DCF!B13)/DCF!B14</x:f>
        <x:v>60.28230226157712</x:v>
      </x:c>
      <x:c r="E15" s="235" t="str">
        <x:v>Uses UEBITDA €12.803bn, less net debt and NCI</x:v>
      </x:c>
      <x:c r="F15" s="235"/>
      <x:c r="G15" s="235"/>
      <x:c r="H15" s="234"/>
      <x:c r="I15" s="234"/>
      <x:c r="J15" s="234"/>
      <x:c r="K15" s="234"/>
      <x:c r="L15" s="234"/>
      <x:c r="M15" s="234"/>
      <x:c r="N15" s="234"/>
      <x:c r="O15" s="234"/>
      <x:c r="P15" s="234"/>
      <x:c r="Q15" s="234"/>
      <x:c r="R15" s="234"/>
      <x:c r="S15" s="234"/>
      <x:c r="T15" s="234"/>
      <x:c r="U15" s="234"/>
      <x:c r="V15" s="234"/>
      <x:c r="W15" s="234"/>
      <x:c r="X15" s="234"/>
      <x:c r="Y15" s="234"/>
      <x:c r="Z15" s="234"/>
    </x:row>
    <x:row r="16">
      <x:c r="A16" s="235"/>
      <x:c r="B16" s="235"/>
      <x:c r="C16" s="235"/>
      <x:c r="D16" s="235"/>
      <x:c r="E16" s="235"/>
      <x:c r="F16" s="235"/>
      <x:c r="G16" s="235"/>
      <x:c r="H16" s="234"/>
      <x:c r="I16" s="234"/>
      <x:c r="J16" s="234"/>
      <x:c r="K16" s="234"/>
      <x:c r="L16" s="234"/>
      <x:c r="M16" s="234"/>
      <x:c r="N16" s="234"/>
      <x:c r="O16" s="234"/>
      <x:c r="P16" s="234"/>
      <x:c r="Q16" s="234"/>
      <x:c r="R16" s="234"/>
      <x:c r="S16" s="234"/>
      <x:c r="T16" s="234"/>
      <x:c r="U16" s="234"/>
      <x:c r="V16" s="234"/>
      <x:c r="W16" s="234"/>
      <x:c r="X16" s="234"/>
      <x:c r="Y16" s="234"/>
      <x:c r="Z16" s="234"/>
    </x:row>
    <x:row r="17">
      <x:c r="A17" s="245" t="str">
        <x:v>Comps blended value / share</x:v>
      </x:c>
      <x:c r="B17" s="245" t="str"/>
      <x:c r="C17" s="245" t="str"/>
      <x:c r="D17" s="246" t="n">
        <x:f>AVERAGE(D14:D15)</x:f>
        <x:v>56.78530113078856</x:v>
      </x:c>
      <x:c r="E17" s="235"/>
      <x:c r="F17" s="235"/>
      <x:c r="G17" s="235"/>
      <x:c r="H17" s="234"/>
      <x:c r="I17" s="234"/>
      <x:c r="J17" s="234"/>
      <x:c r="K17" s="234"/>
      <x:c r="L17" s="234"/>
      <x:c r="M17" s="234"/>
      <x:c r="N17" s="234"/>
      <x:c r="O17" s="234"/>
      <x:c r="P17" s="234"/>
      <x:c r="Q17" s="234"/>
      <x:c r="R17" s="234"/>
      <x:c r="S17" s="234"/>
      <x:c r="T17" s="234"/>
      <x:c r="U17" s="234"/>
      <x:c r="V17" s="234"/>
      <x:c r="W17" s="234"/>
      <x:c r="X17" s="234"/>
      <x:c r="Y17" s="234"/>
      <x:c r="Z17" s="234"/>
    </x:row>
    <x:row r="18">
      <x:c r="A18" s="235"/>
      <x:c r="B18" s="235"/>
      <x:c r="C18" s="235"/>
      <x:c r="D18" s="235"/>
      <x:c r="E18" s="235"/>
      <x:c r="F18" s="235"/>
      <x:c r="G18" s="235"/>
      <x:c r="H18" s="234"/>
      <x:c r="I18" s="234"/>
      <x:c r="J18" s="234"/>
      <x:c r="K18" s="234"/>
      <x:c r="L18" s="234"/>
      <x:c r="M18" s="234"/>
      <x:c r="N18" s="234"/>
      <x:c r="O18" s="234"/>
      <x:c r="P18" s="234"/>
      <x:c r="Q18" s="234"/>
      <x:c r="R18" s="234"/>
      <x:c r="S18" s="234"/>
      <x:c r="T18" s="234"/>
      <x:c r="U18" s="234"/>
      <x:c r="V18" s="234"/>
      <x:c r="W18" s="234"/>
      <x:c r="X18" s="234"/>
      <x:c r="Y18" s="234"/>
      <x:c r="Z18" s="234"/>
    </x:row>
    <x:row r="19">
      <x:c r="A19" s="235"/>
      <x:c r="B19" s="235"/>
      <x:c r="C19" s="235"/>
      <x:c r="D19" s="235"/>
      <x:c r="E19" s="235"/>
      <x:c r="F19" s="235"/>
      <x:c r="G19" s="235"/>
      <x:c r="H19" s="234"/>
      <x:c r="I19" s="234"/>
      <x:c r="J19" s="234"/>
      <x:c r="K19" s="234"/>
      <x:c r="L19" s="234"/>
      <x:c r="M19" s="234"/>
      <x:c r="N19" s="234"/>
      <x:c r="O19" s="234"/>
      <x:c r="P19" s="234"/>
      <x:c r="Q19" s="234"/>
      <x:c r="R19" s="234"/>
      <x:c r="S19" s="234"/>
      <x:c r="T19" s="234"/>
      <x:c r="U19" s="234"/>
      <x:c r="V19" s="234"/>
      <x:c r="W19" s="234"/>
      <x:c r="X19" s="234"/>
      <x:c r="Y19" s="234"/>
      <x:c r="Z19" s="234"/>
    </x:row>
    <x:row r="20">
      <x:c r="A20" s="235"/>
      <x:c r="B20" s="235"/>
      <x:c r="C20" s="235"/>
      <x:c r="D20" s="235"/>
      <x:c r="E20" s="235"/>
      <x:c r="F20" s="235"/>
      <x:c r="G20" s="235"/>
      <x:c r="H20" s="234"/>
      <x:c r="I20" s="234"/>
      <x:c r="J20" s="234"/>
      <x:c r="K20" s="234"/>
      <x:c r="L20" s="234"/>
      <x:c r="M20" s="234"/>
      <x:c r="N20" s="234"/>
      <x:c r="O20" s="234"/>
      <x:c r="P20" s="234"/>
      <x:c r="Q20" s="234"/>
      <x:c r="R20" s="234"/>
      <x:c r="S20" s="234"/>
      <x:c r="T20" s="234"/>
      <x:c r="U20" s="234"/>
      <x:c r="V20" s="234"/>
      <x:c r="W20" s="234"/>
      <x:c r="X20" s="234"/>
      <x:c r="Y20" s="234"/>
      <x:c r="Z20" s="234"/>
    </x:row>
    <x:row r="21">
      <x:c r="A21" s="235"/>
      <x:c r="B21" s="235"/>
      <x:c r="C21" s="235"/>
      <x:c r="D21" s="235"/>
      <x:c r="E21" s="235"/>
      <x:c r="F21" s="235"/>
      <x:c r="G21" s="235"/>
      <x:c r="H21" s="234"/>
      <x:c r="I21" s="234"/>
      <x:c r="J21" s="234"/>
      <x:c r="K21" s="234"/>
      <x:c r="L21" s="234"/>
      <x:c r="M21" s="234"/>
      <x:c r="N21" s="234"/>
      <x:c r="O21" s="234"/>
      <x:c r="P21" s="234"/>
      <x:c r="Q21" s="234"/>
      <x:c r="R21" s="234"/>
      <x:c r="S21" s="234"/>
      <x:c r="T21" s="234"/>
      <x:c r="U21" s="234"/>
      <x:c r="V21" s="234"/>
      <x:c r="W21" s="234"/>
      <x:c r="X21" s="234"/>
      <x:c r="Y21" s="234"/>
      <x:c r="Z21" s="234"/>
    </x:row>
    <x:row r="22">
      <x:c r="A22" s="235"/>
      <x:c r="B22" s="235"/>
      <x:c r="C22" s="235"/>
      <x:c r="D22" s="235"/>
      <x:c r="E22" s="235"/>
      <x:c r="F22" s="235"/>
      <x:c r="G22" s="235"/>
      <x:c r="H22" s="234"/>
      <x:c r="I22" s="234"/>
      <x:c r="J22" s="234"/>
      <x:c r="K22" s="234"/>
      <x:c r="L22" s="234"/>
      <x:c r="M22" s="234"/>
      <x:c r="N22" s="234"/>
      <x:c r="O22" s="234"/>
      <x:c r="P22" s="234"/>
      <x:c r="Q22" s="234"/>
      <x:c r="R22" s="234"/>
      <x:c r="S22" s="234"/>
      <x:c r="T22" s="234"/>
      <x:c r="U22" s="234"/>
      <x:c r="V22" s="234"/>
      <x:c r="W22" s="234"/>
      <x:c r="X22" s="234"/>
      <x:c r="Y22" s="234"/>
      <x:c r="Z22" s="234"/>
    </x:row>
    <x:row r="23">
      <x:c r="A23" s="235"/>
      <x:c r="B23" s="235"/>
      <x:c r="C23" s="235"/>
      <x:c r="D23" s="235"/>
      <x:c r="E23" s="235"/>
      <x:c r="F23" s="235"/>
      <x:c r="G23" s="235"/>
      <x:c r="H23" s="234"/>
      <x:c r="I23" s="234"/>
      <x:c r="J23" s="234"/>
      <x:c r="K23" s="234"/>
      <x:c r="L23" s="234"/>
      <x:c r="M23" s="234"/>
      <x:c r="N23" s="234"/>
      <x:c r="O23" s="234"/>
      <x:c r="P23" s="234"/>
      <x:c r="Q23" s="234"/>
      <x:c r="R23" s="234"/>
      <x:c r="S23" s="234"/>
      <x:c r="T23" s="234"/>
      <x:c r="U23" s="234"/>
      <x:c r="V23" s="234"/>
      <x:c r="W23" s="234"/>
      <x:c r="X23" s="234"/>
      <x:c r="Y23" s="234"/>
      <x:c r="Z23" s="234"/>
    </x:row>
    <x:row r="24">
      <x:c r="A24" s="235"/>
      <x:c r="B24" s="235"/>
      <x:c r="C24" s="235"/>
      <x:c r="D24" s="235"/>
      <x:c r="E24" s="235"/>
      <x:c r="F24" s="235"/>
      <x:c r="G24" s="235"/>
      <x:c r="H24" s="234"/>
      <x:c r="I24" s="234"/>
      <x:c r="J24" s="234"/>
      <x:c r="K24" s="234"/>
      <x:c r="L24" s="234"/>
      <x:c r="M24" s="234"/>
      <x:c r="N24" s="234"/>
      <x:c r="O24" s="234"/>
      <x:c r="P24" s="234"/>
      <x:c r="Q24" s="234"/>
      <x:c r="R24" s="234"/>
      <x:c r="S24" s="234"/>
      <x:c r="T24" s="234"/>
      <x:c r="U24" s="234"/>
      <x:c r="V24" s="234"/>
      <x:c r="W24" s="234"/>
      <x:c r="X24" s="234"/>
      <x:c r="Y24" s="234"/>
      <x:c r="Z24" s="234"/>
    </x:row>
    <x:row r="25">
      <x:c r="A25" s="234"/>
      <x:c r="B25" s="234"/>
      <x:c r="C25" s="234"/>
      <x:c r="D25" s="234"/>
      <x:c r="E25" s="234"/>
      <x:c r="F25" s="234"/>
      <x:c r="G25" s="234"/>
      <x:c r="H25" s="234"/>
      <x:c r="I25" s="234"/>
      <x:c r="J25" s="234"/>
      <x:c r="K25" s="234"/>
      <x:c r="L25" s="234"/>
      <x:c r="M25" s="234"/>
      <x:c r="N25" s="234"/>
      <x:c r="O25" s="234"/>
      <x:c r="P25" s="234"/>
      <x:c r="Q25" s="234"/>
      <x:c r="R25" s="234"/>
      <x:c r="S25" s="234"/>
      <x:c r="T25" s="234"/>
      <x:c r="U25" s="234"/>
      <x:c r="V25" s="234"/>
      <x:c r="W25" s="234"/>
      <x:c r="X25" s="234"/>
      <x:c r="Y25" s="234"/>
      <x:c r="Z25" s="234"/>
    </x:row>
    <x:row r="26">
      <x:c r="A26" s="234"/>
      <x:c r="B26" s="234"/>
      <x:c r="C26" s="234"/>
      <x:c r="D26" s="234"/>
      <x:c r="E26" s="234"/>
      <x:c r="F26" s="234"/>
      <x:c r="G26" s="234"/>
      <x:c r="H26" s="234"/>
      <x:c r="I26" s="234"/>
      <x:c r="J26" s="234"/>
      <x:c r="K26" s="234"/>
      <x:c r="L26" s="234"/>
      <x:c r="M26" s="234"/>
      <x:c r="N26" s="234"/>
      <x:c r="O26" s="234"/>
      <x:c r="P26" s="234"/>
      <x:c r="Q26" s="234"/>
      <x:c r="R26" s="234"/>
      <x:c r="S26" s="234"/>
      <x:c r="T26" s="234"/>
      <x:c r="U26" s="234"/>
      <x:c r="V26" s="234"/>
      <x:c r="W26" s="234"/>
      <x:c r="X26" s="234"/>
      <x:c r="Y26" s="234"/>
      <x:c r="Z26" s="234"/>
    </x:row>
    <x:row r="27">
      <x:c r="A27" s="234"/>
      <x:c r="B27" s="234"/>
      <x:c r="C27" s="234"/>
      <x:c r="D27" s="234"/>
      <x:c r="E27" s="234"/>
      <x:c r="F27" s="234"/>
      <x:c r="G27" s="234"/>
      <x:c r="H27" s="234"/>
      <x:c r="I27" s="234"/>
      <x:c r="J27" s="234"/>
      <x:c r="K27" s="234"/>
      <x:c r="L27" s="234"/>
      <x:c r="M27" s="234"/>
      <x:c r="N27" s="234"/>
      <x:c r="O27" s="234"/>
      <x:c r="P27" s="234"/>
      <x:c r="Q27" s="234"/>
      <x:c r="R27" s="234"/>
      <x:c r="S27" s="234"/>
      <x:c r="T27" s="234"/>
      <x:c r="U27" s="234"/>
      <x:c r="V27" s="234"/>
      <x:c r="W27" s="234"/>
      <x:c r="X27" s="234"/>
      <x:c r="Y27" s="234"/>
      <x:c r="Z27" s="234"/>
    </x:row>
    <x:row r="28">
      <x:c r="A28" s="234"/>
      <x:c r="B28" s="234"/>
      <x:c r="C28" s="234"/>
      <x:c r="D28" s="234"/>
      <x:c r="E28" s="234"/>
      <x:c r="F28" s="234"/>
      <x:c r="G28" s="234"/>
      <x:c r="H28" s="234"/>
      <x:c r="I28" s="234"/>
      <x:c r="J28" s="234"/>
      <x:c r="K28" s="234"/>
      <x:c r="L28" s="234"/>
      <x:c r="M28" s="234"/>
      <x:c r="N28" s="234"/>
      <x:c r="O28" s="234"/>
      <x:c r="P28" s="234"/>
      <x:c r="Q28" s="234"/>
      <x:c r="R28" s="234"/>
      <x:c r="S28" s="234"/>
      <x:c r="T28" s="234"/>
      <x:c r="U28" s="234"/>
      <x:c r="V28" s="234"/>
      <x:c r="W28" s="234"/>
      <x:c r="X28" s="234"/>
      <x:c r="Y28" s="234"/>
      <x:c r="Z28" s="234"/>
    </x:row>
    <x:row r="29">
      <x:c r="A29" s="234"/>
      <x:c r="B29" s="234"/>
      <x:c r="C29" s="234"/>
      <x:c r="D29" s="234"/>
      <x:c r="E29" s="234"/>
      <x:c r="F29" s="234"/>
      <x:c r="G29" s="234"/>
      <x:c r="H29" s="234"/>
      <x:c r="I29" s="234"/>
      <x:c r="J29" s="234"/>
      <x:c r="K29" s="234"/>
      <x:c r="L29" s="234"/>
      <x:c r="M29" s="234"/>
      <x:c r="N29" s="234"/>
      <x:c r="O29" s="234"/>
      <x:c r="P29" s="234"/>
      <x:c r="Q29" s="234"/>
      <x:c r="R29" s="234"/>
      <x:c r="S29" s="234"/>
      <x:c r="T29" s="234"/>
      <x:c r="U29" s="234"/>
      <x:c r="V29" s="234"/>
      <x:c r="W29" s="234"/>
      <x:c r="X29" s="234"/>
      <x:c r="Y29" s="234"/>
      <x:c r="Z29" s="234"/>
    </x:row>
    <x:row r="30">
      <x:c r="A30" s="234"/>
      <x:c r="B30" s="234"/>
      <x:c r="C30" s="234"/>
      <x:c r="D30" s="234"/>
      <x:c r="E30" s="234"/>
      <x:c r="F30" s="234"/>
      <x:c r="G30" s="234"/>
      <x:c r="H30" s="234"/>
      <x:c r="I30" s="234"/>
      <x:c r="J30" s="234"/>
      <x:c r="K30" s="234"/>
      <x:c r="L30" s="234"/>
      <x:c r="M30" s="234"/>
      <x:c r="N30" s="234"/>
      <x:c r="O30" s="234"/>
      <x:c r="P30" s="234"/>
      <x:c r="Q30" s="234"/>
      <x:c r="R30" s="234"/>
      <x:c r="S30" s="234"/>
      <x:c r="T30" s="234"/>
      <x:c r="U30" s="234"/>
      <x:c r="V30" s="234"/>
      <x:c r="W30" s="234"/>
      <x:c r="X30" s="234"/>
      <x:c r="Y30" s="234"/>
      <x:c r="Z30" s="234"/>
    </x:row>
    <x:row r="31">
      <x:c r="A31" s="234"/>
      <x:c r="B31" s="234"/>
      <x:c r="C31" s="234"/>
      <x:c r="D31" s="234"/>
      <x:c r="E31" s="234"/>
      <x:c r="F31" s="234"/>
      <x:c r="G31" s="234"/>
      <x:c r="H31" s="234"/>
      <x:c r="I31" s="234"/>
      <x:c r="J31" s="234"/>
      <x:c r="K31" s="234"/>
      <x:c r="L31" s="234"/>
      <x:c r="M31" s="234"/>
      <x:c r="N31" s="234"/>
      <x:c r="O31" s="234"/>
      <x:c r="P31" s="234"/>
      <x:c r="Q31" s="234"/>
      <x:c r="R31" s="234"/>
      <x:c r="S31" s="234"/>
      <x:c r="T31" s="234"/>
      <x:c r="U31" s="234"/>
      <x:c r="V31" s="234"/>
      <x:c r="W31" s="234"/>
      <x:c r="X31" s="234"/>
      <x:c r="Y31" s="234"/>
      <x:c r="Z31" s="234"/>
    </x:row>
    <x:row r="32">
      <x:c r="A32" s="234"/>
      <x:c r="B32" s="234"/>
      <x:c r="C32" s="234"/>
      <x:c r="D32" s="234"/>
      <x:c r="E32" s="234"/>
      <x:c r="F32" s="234"/>
      <x:c r="G32" s="234"/>
      <x:c r="H32" s="234"/>
      <x:c r="I32" s="234"/>
      <x:c r="J32" s="234"/>
      <x:c r="K32" s="234"/>
      <x:c r="L32" s="234"/>
      <x:c r="M32" s="234"/>
      <x:c r="N32" s="234"/>
      <x:c r="O32" s="234"/>
      <x:c r="P32" s="234"/>
      <x:c r="Q32" s="234"/>
      <x:c r="R32" s="234"/>
      <x:c r="S32" s="234"/>
      <x:c r="T32" s="234"/>
      <x:c r="U32" s="234"/>
      <x:c r="V32" s="234"/>
      <x:c r="W32" s="234"/>
      <x:c r="X32" s="234"/>
      <x:c r="Y32" s="234"/>
      <x:c r="Z32" s="234"/>
    </x:row>
    <x:row r="33">
      <x:c r="A33" s="234"/>
      <x:c r="B33" s="234"/>
      <x:c r="C33" s="234"/>
      <x:c r="D33" s="234"/>
      <x:c r="E33" s="234"/>
      <x:c r="F33" s="234"/>
      <x:c r="G33" s="234"/>
      <x:c r="H33" s="234"/>
      <x:c r="I33" s="234"/>
      <x:c r="J33" s="234"/>
      <x:c r="K33" s="234"/>
      <x:c r="L33" s="234"/>
      <x:c r="M33" s="234"/>
      <x:c r="N33" s="234"/>
      <x:c r="O33" s="234"/>
      <x:c r="P33" s="234"/>
      <x:c r="Q33" s="234"/>
      <x:c r="R33" s="234"/>
      <x:c r="S33" s="234"/>
      <x:c r="T33" s="234"/>
      <x:c r="U33" s="234"/>
      <x:c r="V33" s="234"/>
      <x:c r="W33" s="234"/>
      <x:c r="X33" s="234"/>
      <x:c r="Y33" s="234"/>
      <x:c r="Z33" s="234"/>
    </x:row>
    <x:row r="34">
      <x:c r="A34" s="234"/>
      <x:c r="B34" s="234"/>
      <x:c r="C34" s="234"/>
      <x:c r="D34" s="234"/>
      <x:c r="E34" s="234"/>
      <x:c r="F34" s="234"/>
      <x:c r="G34" s="234"/>
      <x:c r="H34" s="234"/>
      <x:c r="I34" s="234"/>
      <x:c r="J34" s="234"/>
      <x:c r="K34" s="234"/>
      <x:c r="L34" s="234"/>
      <x:c r="M34" s="234"/>
      <x:c r="N34" s="234"/>
      <x:c r="O34" s="234"/>
      <x:c r="P34" s="234"/>
      <x:c r="Q34" s="234"/>
      <x:c r="R34" s="234"/>
      <x:c r="S34" s="234"/>
      <x:c r="T34" s="234"/>
      <x:c r="U34" s="234"/>
      <x:c r="V34" s="234"/>
      <x:c r="W34" s="234"/>
      <x:c r="X34" s="234"/>
      <x:c r="Y34" s="234"/>
      <x:c r="Z34" s="234"/>
    </x:row>
    <x:row r="35">
      <x:c r="A35" s="234"/>
      <x:c r="B35" s="234"/>
      <x:c r="C35" s="234"/>
      <x:c r="D35" s="234"/>
      <x:c r="E35" s="234"/>
      <x:c r="F35" s="234"/>
      <x:c r="G35" s="234"/>
      <x:c r="H35" s="234"/>
      <x:c r="I35" s="234"/>
      <x:c r="J35" s="234"/>
      <x:c r="K35" s="234"/>
      <x:c r="L35" s="234"/>
      <x:c r="M35" s="234"/>
      <x:c r="N35" s="234"/>
      <x:c r="O35" s="234"/>
      <x:c r="P35" s="234"/>
      <x:c r="Q35" s="234"/>
      <x:c r="R35" s="234"/>
      <x:c r="S35" s="234"/>
      <x:c r="T35" s="234"/>
      <x:c r="U35" s="234"/>
      <x:c r="V35" s="234"/>
      <x:c r="W35" s="234"/>
      <x:c r="X35" s="234"/>
      <x:c r="Y35" s="234"/>
      <x:c r="Z35" s="234"/>
    </x:row>
    <x:row r="36">
      <x:c r="A36" s="234"/>
      <x:c r="B36" s="234"/>
      <x:c r="C36" s="234"/>
      <x:c r="D36" s="234"/>
      <x:c r="E36" s="234"/>
      <x:c r="F36" s="234"/>
      <x:c r="G36" s="234"/>
      <x:c r="H36" s="234"/>
      <x:c r="I36" s="234"/>
      <x:c r="J36" s="234"/>
      <x:c r="K36" s="234"/>
      <x:c r="L36" s="234"/>
      <x:c r="M36" s="234"/>
      <x:c r="N36" s="234"/>
      <x:c r="O36" s="234"/>
      <x:c r="P36" s="234"/>
      <x:c r="Q36" s="234"/>
      <x:c r="R36" s="234"/>
      <x:c r="S36" s="234"/>
      <x:c r="T36" s="234"/>
      <x:c r="U36" s="234"/>
      <x:c r="V36" s="234"/>
      <x:c r="W36" s="234"/>
      <x:c r="X36" s="234"/>
      <x:c r="Y36" s="234"/>
      <x:c r="Z36" s="234"/>
    </x:row>
    <x:row r="37">
      <x:c r="A37" s="234"/>
      <x:c r="B37" s="234"/>
      <x:c r="C37" s="234"/>
      <x:c r="D37" s="234"/>
      <x:c r="E37" s="234"/>
      <x:c r="F37" s="234"/>
      <x:c r="G37" s="234"/>
      <x:c r="H37" s="234"/>
      <x:c r="I37" s="234"/>
      <x:c r="J37" s="234"/>
      <x:c r="K37" s="234"/>
      <x:c r="L37" s="234"/>
      <x:c r="M37" s="234"/>
      <x:c r="N37" s="234"/>
      <x:c r="O37" s="234"/>
      <x:c r="P37" s="234"/>
      <x:c r="Q37" s="234"/>
      <x:c r="R37" s="234"/>
      <x:c r="S37" s="234"/>
      <x:c r="T37" s="234"/>
      <x:c r="U37" s="234"/>
      <x:c r="V37" s="234"/>
      <x:c r="W37" s="234"/>
      <x:c r="X37" s="234"/>
      <x:c r="Y37" s="234"/>
      <x:c r="Z37" s="234"/>
    </x:row>
    <x:row r="38">
      <x:c r="A38" s="234"/>
      <x:c r="B38" s="234"/>
      <x:c r="C38" s="234"/>
      <x:c r="D38" s="234"/>
      <x:c r="E38" s="234"/>
      <x:c r="F38" s="234"/>
      <x:c r="G38" s="234"/>
      <x:c r="H38" s="234"/>
      <x:c r="I38" s="234"/>
      <x:c r="J38" s="234"/>
      <x:c r="K38" s="234"/>
      <x:c r="L38" s="234"/>
      <x:c r="M38" s="234"/>
      <x:c r="N38" s="234"/>
      <x:c r="O38" s="234"/>
      <x:c r="P38" s="234"/>
      <x:c r="Q38" s="234"/>
      <x:c r="R38" s="234"/>
      <x:c r="S38" s="234"/>
      <x:c r="T38" s="234"/>
      <x:c r="U38" s="234"/>
      <x:c r="V38" s="234"/>
      <x:c r="W38" s="234"/>
      <x:c r="X38" s="234"/>
      <x:c r="Y38" s="234"/>
      <x:c r="Z38" s="234"/>
    </x:row>
    <x:row r="39">
      <x:c r="A39" s="234"/>
      <x:c r="B39" s="234"/>
      <x:c r="C39" s="234"/>
      <x:c r="D39" s="234"/>
      <x:c r="E39" s="234"/>
      <x:c r="F39" s="234"/>
      <x:c r="G39" s="234"/>
      <x:c r="H39" s="234"/>
      <x:c r="I39" s="234"/>
      <x:c r="J39" s="234"/>
      <x:c r="K39" s="234"/>
      <x:c r="L39" s="234"/>
      <x:c r="M39" s="234"/>
      <x:c r="N39" s="234"/>
      <x:c r="O39" s="234"/>
      <x:c r="P39" s="234"/>
      <x:c r="Q39" s="234"/>
      <x:c r="R39" s="234"/>
      <x:c r="S39" s="234"/>
      <x:c r="T39" s="234"/>
      <x:c r="U39" s="234"/>
      <x:c r="V39" s="234"/>
      <x:c r="W39" s="234"/>
      <x:c r="X39" s="234"/>
      <x:c r="Y39" s="234"/>
      <x:c r="Z39" s="234"/>
    </x:row>
    <x:row r="40">
      <x:c r="A40" s="234"/>
      <x:c r="B40" s="234"/>
      <x:c r="C40" s="234"/>
      <x:c r="D40" s="234"/>
      <x:c r="E40" s="234"/>
      <x:c r="F40" s="234"/>
      <x:c r="G40" s="234"/>
      <x:c r="H40" s="234"/>
      <x:c r="I40" s="234"/>
      <x:c r="J40" s="234"/>
      <x:c r="K40" s="234"/>
      <x:c r="L40" s="234"/>
      <x:c r="M40" s="234"/>
      <x:c r="N40" s="234"/>
      <x:c r="O40" s="234"/>
      <x:c r="P40" s="234"/>
      <x:c r="Q40" s="234"/>
      <x:c r="R40" s="234"/>
      <x:c r="S40" s="234"/>
      <x:c r="T40" s="234"/>
      <x:c r="U40" s="234"/>
      <x:c r="V40" s="234"/>
      <x:c r="W40" s="234"/>
      <x:c r="X40" s="234"/>
      <x:c r="Y40" s="234"/>
      <x:c r="Z40" s="234"/>
    </x:row>
    <x:row r="41">
      <x:c r="A41" s="234"/>
      <x:c r="B41" s="234"/>
      <x:c r="C41" s="234"/>
      <x:c r="D41" s="234"/>
      <x:c r="E41" s="234"/>
      <x:c r="F41" s="234"/>
      <x:c r="G41" s="234"/>
      <x:c r="H41" s="234"/>
      <x:c r="I41" s="234"/>
      <x:c r="J41" s="234"/>
      <x:c r="K41" s="234"/>
      <x:c r="L41" s="234"/>
      <x:c r="M41" s="234"/>
      <x:c r="N41" s="234"/>
      <x:c r="O41" s="234"/>
      <x:c r="P41" s="234"/>
      <x:c r="Q41" s="234"/>
      <x:c r="R41" s="234"/>
      <x:c r="S41" s="234"/>
      <x:c r="T41" s="234"/>
      <x:c r="U41" s="234"/>
      <x:c r="V41" s="234"/>
      <x:c r="W41" s="234"/>
      <x:c r="X41" s="234"/>
      <x:c r="Y41" s="234"/>
      <x:c r="Z41" s="234"/>
    </x:row>
    <x:row r="42">
      <x:c r="A42" s="234"/>
      <x:c r="B42" s="234"/>
      <x:c r="C42" s="234"/>
      <x:c r="D42" s="234"/>
      <x:c r="E42" s="234"/>
      <x:c r="F42" s="234"/>
      <x:c r="G42" s="234"/>
      <x:c r="H42" s="234"/>
      <x:c r="I42" s="234"/>
      <x:c r="J42" s="234"/>
      <x:c r="K42" s="234"/>
      <x:c r="L42" s="234"/>
      <x:c r="M42" s="234"/>
      <x:c r="N42" s="234"/>
      <x:c r="O42" s="234"/>
      <x:c r="P42" s="234"/>
      <x:c r="Q42" s="234"/>
      <x:c r="R42" s="234"/>
      <x:c r="S42" s="234"/>
      <x:c r="T42" s="234"/>
      <x:c r="U42" s="234"/>
      <x:c r="V42" s="234"/>
      <x:c r="W42" s="234"/>
      <x:c r="X42" s="234"/>
      <x:c r="Y42" s="234"/>
      <x:c r="Z42" s="234"/>
    </x:row>
    <x:row r="43">
      <x:c r="A43" s="234"/>
      <x:c r="B43" s="234"/>
      <x:c r="C43" s="234"/>
      <x:c r="D43" s="234"/>
      <x:c r="E43" s="234"/>
      <x:c r="F43" s="234"/>
      <x:c r="G43" s="234"/>
      <x:c r="H43" s="234"/>
      <x:c r="I43" s="234"/>
      <x:c r="J43" s="234"/>
      <x:c r="K43" s="234"/>
      <x:c r="L43" s="234"/>
      <x:c r="M43" s="234"/>
      <x:c r="N43" s="234"/>
      <x:c r="O43" s="234"/>
      <x:c r="P43" s="234"/>
      <x:c r="Q43" s="234"/>
      <x:c r="R43" s="234"/>
      <x:c r="S43" s="234"/>
      <x:c r="T43" s="234"/>
      <x:c r="U43" s="234"/>
      <x:c r="V43" s="234"/>
      <x:c r="W43" s="234"/>
      <x:c r="X43" s="234"/>
      <x:c r="Y43" s="234"/>
      <x:c r="Z43" s="234"/>
    </x:row>
    <x:row r="44">
      <x:c r="A44" s="234"/>
      <x:c r="B44" s="234"/>
      <x:c r="C44" s="234"/>
      <x:c r="D44" s="234"/>
      <x:c r="E44" s="234"/>
      <x:c r="F44" s="234"/>
      <x:c r="G44" s="234"/>
      <x:c r="H44" s="234"/>
      <x:c r="I44" s="234"/>
      <x:c r="J44" s="234"/>
      <x:c r="K44" s="234"/>
      <x:c r="L44" s="234"/>
      <x:c r="M44" s="234"/>
      <x:c r="N44" s="234"/>
      <x:c r="O44" s="234"/>
      <x:c r="P44" s="234"/>
      <x:c r="Q44" s="234"/>
      <x:c r="R44" s="234"/>
      <x:c r="S44" s="234"/>
      <x:c r="T44" s="234"/>
      <x:c r="U44" s="234"/>
      <x:c r="V44" s="234"/>
      <x:c r="W44" s="234"/>
      <x:c r="X44" s="234"/>
      <x:c r="Y44" s="234"/>
      <x:c r="Z44" s="234"/>
    </x:row>
    <x:row r="45">
      <x:c r="A45" s="234"/>
      <x:c r="B45" s="234"/>
      <x:c r="C45" s="234"/>
      <x:c r="D45" s="234"/>
      <x:c r="E45" s="234"/>
      <x:c r="F45" s="234"/>
      <x:c r="G45" s="234"/>
      <x:c r="H45" s="234"/>
      <x:c r="I45" s="234"/>
      <x:c r="J45" s="234"/>
      <x:c r="K45" s="234"/>
      <x:c r="L45" s="234"/>
      <x:c r="M45" s="234"/>
      <x:c r="N45" s="234"/>
      <x:c r="O45" s="234"/>
      <x:c r="P45" s="234"/>
      <x:c r="Q45" s="234"/>
      <x:c r="R45" s="234"/>
      <x:c r="S45" s="234"/>
      <x:c r="T45" s="234"/>
      <x:c r="U45" s="234"/>
      <x:c r="V45" s="234"/>
      <x:c r="W45" s="234"/>
      <x:c r="X45" s="234"/>
      <x:c r="Y45" s="234"/>
      <x:c r="Z45" s="234"/>
    </x:row>
    <x:row r="46">
      <x:c r="A46" s="234"/>
      <x:c r="B46" s="234"/>
      <x:c r="C46" s="234"/>
      <x:c r="D46" s="234"/>
      <x:c r="E46" s="234"/>
      <x:c r="F46" s="234"/>
      <x:c r="G46" s="234"/>
      <x:c r="H46" s="234"/>
      <x:c r="I46" s="234"/>
      <x:c r="J46" s="234"/>
      <x:c r="K46" s="234"/>
      <x:c r="L46" s="234"/>
      <x:c r="M46" s="234"/>
      <x:c r="N46" s="234"/>
      <x:c r="O46" s="234"/>
      <x:c r="P46" s="234"/>
      <x:c r="Q46" s="234"/>
      <x:c r="R46" s="234"/>
      <x:c r="S46" s="234"/>
      <x:c r="T46" s="234"/>
      <x:c r="U46" s="234"/>
      <x:c r="V46" s="234"/>
      <x:c r="W46" s="234"/>
      <x:c r="X46" s="234"/>
      <x:c r="Y46" s="234"/>
      <x:c r="Z46" s="234"/>
    </x:row>
    <x:row r="47">
      <x:c r="A47" s="234"/>
      <x:c r="B47" s="234"/>
      <x:c r="C47" s="234"/>
      <x:c r="D47" s="234"/>
      <x:c r="E47" s="234"/>
      <x:c r="F47" s="234"/>
      <x:c r="G47" s="234"/>
      <x:c r="H47" s="234"/>
      <x:c r="I47" s="234"/>
      <x:c r="J47" s="234"/>
      <x:c r="K47" s="234"/>
      <x:c r="L47" s="234"/>
      <x:c r="M47" s="234"/>
      <x:c r="N47" s="234"/>
      <x:c r="O47" s="234"/>
      <x:c r="P47" s="234"/>
      <x:c r="Q47" s="234"/>
      <x:c r="R47" s="234"/>
      <x:c r="S47" s="234"/>
      <x:c r="T47" s="234"/>
      <x:c r="U47" s="234"/>
      <x:c r="V47" s="234"/>
      <x:c r="W47" s="234"/>
      <x:c r="X47" s="234"/>
      <x:c r="Y47" s="234"/>
      <x:c r="Z47" s="234"/>
    </x:row>
    <x:row r="48">
      <x:c r="A48" s="234"/>
      <x:c r="B48" s="234"/>
      <x:c r="C48" s="234"/>
      <x:c r="D48" s="234"/>
      <x:c r="E48" s="234"/>
      <x:c r="F48" s="234"/>
      <x:c r="G48" s="234"/>
      <x:c r="H48" s="234"/>
      <x:c r="I48" s="234"/>
      <x:c r="J48" s="234"/>
      <x:c r="K48" s="234"/>
      <x:c r="L48" s="234"/>
      <x:c r="M48" s="234"/>
      <x:c r="N48" s="234"/>
      <x:c r="O48" s="234"/>
      <x:c r="P48" s="234"/>
      <x:c r="Q48" s="234"/>
      <x:c r="R48" s="234"/>
      <x:c r="S48" s="234"/>
      <x:c r="T48" s="234"/>
      <x:c r="U48" s="234"/>
      <x:c r="V48" s="234"/>
      <x:c r="W48" s="234"/>
      <x:c r="X48" s="234"/>
      <x:c r="Y48" s="234"/>
      <x:c r="Z48" s="234"/>
    </x:row>
    <x:row r="49">
      <x:c r="A49" s="234"/>
      <x:c r="B49" s="234"/>
      <x:c r="C49" s="234"/>
      <x:c r="D49" s="234"/>
      <x:c r="E49" s="234"/>
      <x:c r="F49" s="234"/>
      <x:c r="G49" s="234"/>
      <x:c r="H49" s="234"/>
      <x:c r="I49" s="234"/>
      <x:c r="J49" s="234"/>
      <x:c r="K49" s="234"/>
      <x:c r="L49" s="234"/>
      <x:c r="M49" s="234"/>
      <x:c r="N49" s="234"/>
      <x:c r="O49" s="234"/>
      <x:c r="P49" s="234"/>
      <x:c r="Q49" s="234"/>
      <x:c r="R49" s="234"/>
      <x:c r="S49" s="234"/>
      <x:c r="T49" s="234"/>
      <x:c r="U49" s="234"/>
      <x:c r="V49" s="234"/>
      <x:c r="W49" s="234"/>
      <x:c r="X49" s="234"/>
      <x:c r="Y49" s="234"/>
      <x:c r="Z49" s="234"/>
    </x:row>
    <x:row r="50">
      <x:c r="A50" s="234"/>
      <x:c r="B50" s="234"/>
      <x:c r="C50" s="234"/>
      <x:c r="D50" s="234"/>
      <x:c r="E50" s="234"/>
      <x:c r="F50" s="234"/>
      <x:c r="G50" s="234"/>
      <x:c r="H50" s="234"/>
      <x:c r="I50" s="234"/>
      <x:c r="J50" s="234"/>
      <x:c r="K50" s="234"/>
      <x:c r="L50" s="234"/>
      <x:c r="M50" s="234"/>
      <x:c r="N50" s="234"/>
      <x:c r="O50" s="234"/>
      <x:c r="P50" s="234"/>
      <x:c r="Q50" s="234"/>
      <x:c r="R50" s="234"/>
      <x:c r="S50" s="234"/>
      <x:c r="T50" s="234"/>
      <x:c r="U50" s="234"/>
      <x:c r="V50" s="234"/>
      <x:c r="W50" s="234"/>
      <x:c r="X50" s="234"/>
      <x:c r="Y50" s="234"/>
      <x:c r="Z50" s="234"/>
    </x:row>
    <x:row r="51">
      <x:c r="A51" s="234"/>
      <x:c r="B51" s="234"/>
      <x:c r="C51" s="234"/>
      <x:c r="D51" s="234"/>
      <x:c r="E51" s="234"/>
      <x:c r="F51" s="234"/>
      <x:c r="G51" s="234"/>
      <x:c r="H51" s="234"/>
      <x:c r="I51" s="234"/>
      <x:c r="J51" s="234"/>
      <x:c r="K51" s="234"/>
      <x:c r="L51" s="234"/>
      <x:c r="M51" s="234"/>
      <x:c r="N51" s="234"/>
      <x:c r="O51" s="234"/>
      <x:c r="P51" s="234"/>
      <x:c r="Q51" s="234"/>
      <x:c r="R51" s="234"/>
      <x:c r="S51" s="234"/>
      <x:c r="T51" s="234"/>
      <x:c r="U51" s="234"/>
      <x:c r="V51" s="234"/>
      <x:c r="W51" s="234"/>
      <x:c r="X51" s="234"/>
      <x:c r="Y51" s="234"/>
      <x:c r="Z51" s="234"/>
    </x:row>
    <x:row r="52">
      <x:c r="A52" s="234"/>
      <x:c r="B52" s="234"/>
      <x:c r="C52" s="234"/>
      <x:c r="D52" s="234"/>
      <x:c r="E52" s="234"/>
      <x:c r="F52" s="234"/>
      <x:c r="G52" s="234"/>
      <x:c r="H52" s="234"/>
      <x:c r="I52" s="234"/>
      <x:c r="J52" s="234"/>
      <x:c r="K52" s="234"/>
      <x:c r="L52" s="234"/>
      <x:c r="M52" s="234"/>
      <x:c r="N52" s="234"/>
      <x:c r="O52" s="234"/>
      <x:c r="P52" s="234"/>
      <x:c r="Q52" s="234"/>
      <x:c r="R52" s="234"/>
      <x:c r="S52" s="234"/>
      <x:c r="T52" s="234"/>
      <x:c r="U52" s="234"/>
      <x:c r="V52" s="234"/>
      <x:c r="W52" s="234"/>
      <x:c r="X52" s="234"/>
      <x:c r="Y52" s="234"/>
      <x:c r="Z52" s="234"/>
    </x:row>
    <x:row r="53">
      <x:c r="A53" s="234"/>
      <x:c r="B53" s="234"/>
      <x:c r="C53" s="234"/>
      <x:c r="D53" s="234"/>
      <x:c r="E53" s="234"/>
      <x:c r="F53" s="234"/>
      <x:c r="G53" s="234"/>
      <x:c r="H53" s="234"/>
      <x:c r="I53" s="234"/>
      <x:c r="J53" s="234"/>
      <x:c r="K53" s="234"/>
      <x:c r="L53" s="234"/>
      <x:c r="M53" s="234"/>
      <x:c r="N53" s="234"/>
      <x:c r="O53" s="234"/>
      <x:c r="P53" s="234"/>
      <x:c r="Q53" s="234"/>
      <x:c r="R53" s="234"/>
      <x:c r="S53" s="234"/>
      <x:c r="T53" s="234"/>
      <x:c r="U53" s="234"/>
      <x:c r="V53" s="234"/>
      <x:c r="W53" s="234"/>
      <x:c r="X53" s="234"/>
      <x:c r="Y53" s="234"/>
      <x:c r="Z53" s="234"/>
    </x:row>
    <x:row r="54">
      <x:c r="A54" s="234"/>
      <x:c r="B54" s="234"/>
      <x:c r="C54" s="234"/>
      <x:c r="D54" s="234"/>
      <x:c r="E54" s="234"/>
      <x:c r="F54" s="234"/>
      <x:c r="G54" s="234"/>
      <x:c r="H54" s="234"/>
      <x:c r="I54" s="234"/>
      <x:c r="J54" s="234"/>
      <x:c r="K54" s="234"/>
      <x:c r="L54" s="234"/>
      <x:c r="M54" s="234"/>
      <x:c r="N54" s="234"/>
      <x:c r="O54" s="234"/>
      <x:c r="P54" s="234"/>
      <x:c r="Q54" s="234"/>
      <x:c r="R54" s="234"/>
      <x:c r="S54" s="234"/>
      <x:c r="T54" s="234"/>
      <x:c r="U54" s="234"/>
      <x:c r="V54" s="234"/>
      <x:c r="W54" s="234"/>
      <x:c r="X54" s="234"/>
      <x:c r="Y54" s="234"/>
      <x:c r="Z54" s="234"/>
    </x:row>
    <x:row r="55">
      <x:c r="A55" s="234"/>
      <x:c r="B55" s="234"/>
      <x:c r="C55" s="234"/>
      <x:c r="D55" s="234"/>
      <x:c r="E55" s="234"/>
      <x:c r="F55" s="234"/>
      <x:c r="G55" s="234"/>
      <x:c r="H55" s="234"/>
      <x:c r="I55" s="234"/>
      <x:c r="J55" s="234"/>
      <x:c r="K55" s="234"/>
      <x:c r="L55" s="234"/>
      <x:c r="M55" s="234"/>
      <x:c r="N55" s="234"/>
      <x:c r="O55" s="234"/>
      <x:c r="P55" s="234"/>
      <x:c r="Q55" s="234"/>
      <x:c r="R55" s="234"/>
      <x:c r="S55" s="234"/>
      <x:c r="T55" s="234"/>
      <x:c r="U55" s="234"/>
      <x:c r="V55" s="234"/>
      <x:c r="W55" s="234"/>
      <x:c r="X55" s="234"/>
      <x:c r="Y55" s="234"/>
      <x:c r="Z55" s="234"/>
    </x:row>
    <x:row r="56">
      <x:c r="A56" s="234"/>
      <x:c r="B56" s="234"/>
      <x:c r="C56" s="234"/>
      <x:c r="D56" s="234"/>
      <x:c r="E56" s="234"/>
      <x:c r="F56" s="234"/>
      <x:c r="G56" s="234"/>
      <x:c r="H56" s="234"/>
      <x:c r="I56" s="234"/>
      <x:c r="J56" s="234"/>
      <x:c r="K56" s="234"/>
      <x:c r="L56" s="234"/>
      <x:c r="M56" s="234"/>
      <x:c r="N56" s="234"/>
      <x:c r="O56" s="234"/>
      <x:c r="P56" s="234"/>
      <x:c r="Q56" s="234"/>
      <x:c r="R56" s="234"/>
      <x:c r="S56" s="234"/>
      <x:c r="T56" s="234"/>
      <x:c r="U56" s="234"/>
      <x:c r="V56" s="234"/>
      <x:c r="W56" s="234"/>
      <x:c r="X56" s="234"/>
      <x:c r="Y56" s="234"/>
      <x:c r="Z56" s="234"/>
    </x:row>
    <x:row r="57">
      <x:c r="A57" s="234"/>
      <x:c r="B57" s="234"/>
      <x:c r="C57" s="234"/>
      <x:c r="D57" s="234"/>
      <x:c r="E57" s="234"/>
      <x:c r="F57" s="234"/>
      <x:c r="G57" s="234"/>
      <x:c r="H57" s="234"/>
      <x:c r="I57" s="234"/>
      <x:c r="J57" s="234"/>
      <x:c r="K57" s="234"/>
      <x:c r="L57" s="234"/>
      <x:c r="M57" s="234"/>
      <x:c r="N57" s="234"/>
      <x:c r="O57" s="234"/>
      <x:c r="P57" s="234"/>
      <x:c r="Q57" s="234"/>
      <x:c r="R57" s="234"/>
      <x:c r="S57" s="234"/>
      <x:c r="T57" s="234"/>
      <x:c r="U57" s="234"/>
      <x:c r="V57" s="234"/>
      <x:c r="W57" s="234"/>
      <x:c r="X57" s="234"/>
      <x:c r="Y57" s="234"/>
      <x:c r="Z57" s="234"/>
    </x:row>
    <x:row r="58">
      <x:c r="A58" s="234"/>
      <x:c r="B58" s="234"/>
      <x:c r="C58" s="234"/>
      <x:c r="D58" s="234"/>
      <x:c r="E58" s="234"/>
      <x:c r="F58" s="234"/>
      <x:c r="G58" s="234"/>
      <x:c r="H58" s="234"/>
      <x:c r="I58" s="234"/>
      <x:c r="J58" s="234"/>
      <x:c r="K58" s="234"/>
      <x:c r="L58" s="234"/>
      <x:c r="M58" s="234"/>
      <x:c r="N58" s="234"/>
      <x:c r="O58" s="234"/>
      <x:c r="P58" s="234"/>
      <x:c r="Q58" s="234"/>
      <x:c r="R58" s="234"/>
      <x:c r="S58" s="234"/>
      <x:c r="T58" s="234"/>
      <x:c r="U58" s="234"/>
      <x:c r="V58" s="234"/>
      <x:c r="W58" s="234"/>
      <x:c r="X58" s="234"/>
      <x:c r="Y58" s="234"/>
      <x:c r="Z58" s="234"/>
    </x:row>
    <x:row r="59">
      <x:c r="A59" s="234"/>
      <x:c r="B59" s="234"/>
      <x:c r="C59" s="234"/>
      <x:c r="D59" s="234"/>
      <x:c r="E59" s="234"/>
      <x:c r="F59" s="234"/>
      <x:c r="G59" s="234"/>
      <x:c r="H59" s="234"/>
      <x:c r="I59" s="234"/>
      <x:c r="J59" s="234"/>
      <x:c r="K59" s="234"/>
      <x:c r="L59" s="234"/>
      <x:c r="M59" s="234"/>
      <x:c r="N59" s="234"/>
      <x:c r="O59" s="234"/>
      <x:c r="P59" s="234"/>
      <x:c r="Q59" s="234"/>
      <x:c r="R59" s="234"/>
      <x:c r="S59" s="234"/>
      <x:c r="T59" s="234"/>
      <x:c r="U59" s="234"/>
      <x:c r="V59" s="234"/>
      <x:c r="W59" s="234"/>
      <x:c r="X59" s="234"/>
      <x:c r="Y59" s="234"/>
      <x:c r="Z59" s="234"/>
    </x:row>
    <x:row r="60">
      <x:c r="A60" s="234"/>
      <x:c r="B60" s="234"/>
      <x:c r="C60" s="234"/>
      <x:c r="D60" s="234"/>
      <x:c r="E60" s="234"/>
      <x:c r="F60" s="234"/>
      <x:c r="G60" s="234"/>
      <x:c r="H60" s="234"/>
      <x:c r="I60" s="234"/>
      <x:c r="J60" s="234"/>
      <x:c r="K60" s="234"/>
      <x:c r="L60" s="234"/>
      <x:c r="M60" s="234"/>
      <x:c r="N60" s="234"/>
      <x:c r="O60" s="234"/>
      <x:c r="P60" s="234"/>
      <x:c r="Q60" s="234"/>
      <x:c r="R60" s="234"/>
      <x:c r="S60" s="234"/>
      <x:c r="T60" s="234"/>
      <x:c r="U60" s="234"/>
      <x:c r="V60" s="234"/>
      <x:c r="W60" s="234"/>
      <x:c r="X60" s="234"/>
      <x:c r="Y60" s="234"/>
      <x:c r="Z60" s="234"/>
    </x:row>
  </x:sheetData>
  <x:mergeCells>
    <x:mergeCell ref="A1:G1"/>
    <x:mergeCell ref="A3:G3"/>
    <x:mergeCell ref="A12:E1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34" hidden="0" customWidth="1"/>
    <x:col min="6" max="6" width="18" hidden="0" customWidth="1"/>
    <x:col min="7" max="7" width="18" hidden="0" customWidth="1"/>
    <x:col min="8" max="8" width="42" hidden="0" customWidth="1"/>
  </x:cols>
  <x:sheetData>
    <x:row r="1" ht="28" customHeight="1">
      <x:c r="A1" s="26" t="str">
        <x:v>Unilever | Retrospective FY2024 valuation exercise</x:v>
      </x:c>
      <x:c r="B1" s="26" t="str">
        <x:v>Unilever Equity Research &amp; Valuation | As at 31 December 2024</x:v>
      </x:c>
      <x:c r="C1" s="26" t="str">
        <x:v>Unilever Equity Research &amp; Valuation | As at 31 December 2024</x:v>
      </x:c>
      <x:c r="D1" s="26" t="str">
        <x:v>Unilever Equity Research &amp; Valuation | As at 31 December 2024</x:v>
      </x:c>
      <x:c r="E1" s="26" t="str">
        <x:v>Unilever Equity Research &amp; Valuation | As at 31 December 2024</x:v>
      </x:c>
      <x:c r="F1" s="26" t="str">
        <x:v>Unilever Equity Research &amp; Valuation | As at 31 December 2024</x:v>
      </x:c>
      <x:c r="G1" s="26" t="str">
        <x:v>Unilever Equity Research &amp; Valuation | As at 31 December 2024</x:v>
      </x:c>
      <x:c r="H1" s="26" t="str">
        <x:v>Unilever Equity Research &amp; Valuation | As at 31 December 2024</x:v>
      </x:c>
      <x:c r="I1" s="234"/>
      <x:c r="J1" s="234"/>
      <x:c r="K1" s="234"/>
      <x:c r="L1" s="234"/>
      <x:c r="M1" s="234"/>
      <x:c r="N1" s="234"/>
      <x:c r="O1" s="234"/>
      <x:c r="P1" s="234"/>
      <x:c r="Q1" s="234"/>
      <x:c r="R1" s="234"/>
      <x:c r="S1" s="234"/>
      <x:c r="T1" s="234"/>
      <x:c r="U1" s="234"/>
      <x:c r="V1" s="234"/>
      <x:c r="W1" s="234"/>
      <x:c r="X1" s="234"/>
      <x:c r="Y1" s="234"/>
      <x:c r="Z1" s="234"/>
    </x:row>
    <x:row r="2">
      <x:c r="A2" s="235"/>
      <x:c r="B2" s="235"/>
      <x:c r="C2" s="235"/>
      <x:c r="D2" s="235"/>
      <x:c r="E2" s="235"/>
      <x:c r="F2" s="235"/>
      <x:c r="G2" s="235"/>
      <x:c r="H2" s="235"/>
      <x:c r="I2" s="234"/>
      <x:c r="J2" s="234"/>
      <x:c r="K2" s="234"/>
      <x:c r="L2" s="234"/>
      <x:c r="M2" s="234"/>
      <x:c r="N2" s="234"/>
      <x:c r="O2" s="234"/>
      <x:c r="P2" s="234"/>
      <x:c r="Q2" s="234"/>
      <x:c r="R2" s="234"/>
      <x:c r="S2" s="234"/>
      <x:c r="T2" s="234"/>
      <x:c r="U2" s="234"/>
      <x:c r="V2" s="234"/>
      <x:c r="W2" s="234"/>
      <x:c r="X2" s="234"/>
      <x:c r="Y2" s="234"/>
      <x:c r="Z2" s="234"/>
    </x:row>
    <x:row r="3" ht="38" customHeight="1">
      <x:c r="A3" s="236" t="str">
        <x:v>Investment view</x:v>
      </x:c>
      <x:c r="B3" s="236" t="str">
        <x:v>SCENARIO ONLY</x:v>
      </x:c>
      <x:c r="C3" s="236" t="str">
        <x:v>Weighted scenario (€ / share)</x:v>
      </x:c>
      <x:c r="D3" s="341" t="n">
        <x:f>IF(AND(COUNT(B8:B10)=3,MIN(B8:B10)&gt;=0,ABS(SUM(B8:B10)-1)&lt;0.000000001),SUM(D8:D10),NA())</x:f>
        <x:v>59.06572347484253</x:v>
      </x:c>
      <x:c r="E3" s="237" t="str">
        <x:v>Weighted scenario (£ / share)</x:v>
      </x:c>
      <x:c r="F3" s="342" t="n">
        <x:f>D3*DCF!B60</x:f>
        <x:v>48.97611659086993</x:v>
      </x:c>
      <x:c r="G3" s="321" t="str">
        <x:v>Reference price (£)</x:v>
      </x:c>
      <x:c r="H3" s="338" t="n">
        <x:v>45.82</x:v>
      </x:c>
      <x:c r="I3" s="234"/>
      <x:c r="J3" s="234"/>
      <x:c r="K3" s="234"/>
      <x:c r="L3" s="234"/>
      <x:c r="M3" s="234"/>
      <x:c r="N3" s="234"/>
      <x:c r="O3" s="234"/>
      <x:c r="P3" s="234"/>
      <x:c r="Q3" s="234"/>
      <x:c r="R3" s="234"/>
      <x:c r="S3" s="234"/>
      <x:c r="T3" s="234"/>
      <x:c r="U3" s="234"/>
      <x:c r="V3" s="234"/>
      <x:c r="W3" s="234"/>
      <x:c r="X3" s="234"/>
      <x:c r="Y3" s="234"/>
      <x:c r="Z3" s="234"/>
    </x:row>
    <x:row r="4">
      <x:c r="A4" s="241" t="str">
        <x:v>Retrospective FY2024 study; original market inputs are not independently reverified.</x:v>
      </x:c>
      <x:c r="B4" s="235"/>
      <x:c r="C4" s="235"/>
      <x:c r="D4" s="235"/>
      <x:c r="E4" s="235"/>
      <x:c r="F4" s="235"/>
      <x:c r="G4" s="235"/>
      <x:c r="H4" s="235"/>
      <x:c r="I4" s="234"/>
      <x:c r="J4" s="234"/>
      <x:c r="K4" s="234"/>
      <x:c r="L4" s="234"/>
      <x:c r="M4" s="234"/>
      <x:c r="N4" s="234"/>
      <x:c r="O4" s="234"/>
      <x:c r="P4" s="234"/>
      <x:c r="Q4" s="234"/>
      <x:c r="R4" s="234"/>
      <x:c r="S4" s="234"/>
      <x:c r="T4" s="234"/>
      <x:c r="U4" s="234"/>
      <x:c r="V4" s="234"/>
      <x:c r="W4" s="234"/>
      <x:c r="X4" s="234"/>
      <x:c r="Y4" s="234"/>
      <x:c r="Z4" s="234"/>
    </x:row>
    <x:row r="5">
      <x:c r="A5" s="235"/>
      <x:c r="B5" s="235"/>
      <x:c r="C5" s="235"/>
      <x:c r="D5" s="235"/>
      <x:c r="E5" s="235"/>
      <x:c r="F5" s="235"/>
      <x:c r="G5" s="235"/>
      <x:c r="H5" s="235"/>
      <x:c r="I5" s="234"/>
      <x:c r="J5" s="234"/>
      <x:c r="K5" s="234"/>
      <x:c r="L5" s="234"/>
      <x:c r="M5" s="234"/>
      <x:c r="N5" s="234"/>
      <x:c r="O5" s="234"/>
      <x:c r="P5" s="234"/>
      <x:c r="Q5" s="234"/>
      <x:c r="R5" s="234"/>
      <x:c r="S5" s="234"/>
      <x:c r="T5" s="234"/>
      <x:c r="U5" s="234"/>
      <x:c r="V5" s="234"/>
      <x:c r="W5" s="234"/>
      <x:c r="X5" s="234"/>
      <x:c r="Y5" s="234"/>
      <x:c r="Z5" s="234"/>
    </x:row>
    <x:row r="6" ht="21" customHeight="1">
      <x:c r="A6" s="58" t="str">
        <x:v>Valuation Triangulation</x:v>
      </x:c>
      <x:c r="B6" s="58" t="str">
        <x:v>Valuation Triangulation</x:v>
      </x:c>
      <x:c r="C6" s="58" t="str">
        <x:v>Valuation Triangulation</x:v>
      </x:c>
      <x:c r="D6" s="58" t="str">
        <x:v>Valuation Triangulation</x:v>
      </x:c>
      <x:c r="E6" s="58" t="str">
        <x:v>Valuation Triangulation</x:v>
      </x:c>
      <x:c r="F6" s="58" t="str">
        <x:v>Valuation Triangulation</x:v>
      </x:c>
      <x:c r="G6" s="58" t="str">
        <x:v>Valuation Triangulation</x:v>
      </x:c>
      <x:c r="H6" s="58" t="str">
        <x:v>Valuation Triangulation</x:v>
      </x:c>
      <x:c r="I6" s="234"/>
      <x:c r="J6" s="234"/>
      <x:c r="K6" s="234"/>
      <x:c r="L6" s="234"/>
      <x:c r="M6" s="234"/>
      <x:c r="N6" s="234"/>
      <x:c r="O6" s="234"/>
      <x:c r="P6" s="234"/>
      <x:c r="Q6" s="234"/>
      <x:c r="R6" s="234"/>
      <x:c r="S6" s="234"/>
      <x:c r="T6" s="234"/>
      <x:c r="U6" s="234"/>
      <x:c r="V6" s="234"/>
      <x:c r="W6" s="234"/>
      <x:c r="X6" s="234"/>
      <x:c r="Y6" s="234"/>
      <x:c r="Z6" s="234"/>
    </x:row>
    <x:row r="7" ht="30" customHeight="1">
      <x:c r="A7" s="28" t="str">
        <x:v>Method</x:v>
      </x:c>
      <x:c r="B7" s="28" t="str">
        <x:v>Weight</x:v>
      </x:c>
      <x:c r="C7" s="28" t="str">
        <x:v>Value / Share (€)</x:v>
      </x:c>
      <x:c r="D7" s="28" t="str">
        <x:v>Weighted Value</x:v>
      </x:c>
      <x:c r="E7" s="28" t="str">
        <x:v>Core assumption</x:v>
      </x:c>
      <x:c r="F7" s="235"/>
      <x:c r="G7" s="235"/>
      <x:c r="H7" s="235"/>
      <x:c r="I7" s="234"/>
      <x:c r="J7" s="234"/>
      <x:c r="K7" s="234"/>
      <x:c r="L7" s="234"/>
      <x:c r="M7" s="234"/>
      <x:c r="N7" s="234"/>
      <x:c r="O7" s="234"/>
      <x:c r="P7" s="234"/>
      <x:c r="Q7" s="234"/>
      <x:c r="R7" s="234"/>
      <x:c r="S7" s="234"/>
      <x:c r="T7" s="234"/>
      <x:c r="U7" s="234"/>
      <x:c r="V7" s="234"/>
      <x:c r="W7" s="234"/>
      <x:c r="X7" s="234"/>
      <x:c r="Y7" s="234"/>
      <x:c r="Z7" s="234"/>
    </x:row>
    <x:row r="8">
      <x:c r="A8" s="235" t="str">
        <x:v>DCF</x:v>
      </x:c>
      <x:c r="B8" s="242" t="n">
        <x:v>0.4</x:v>
      </x:c>
      <x:c r="C8" s="243" t="n">
        <x:f>DCF!B41</x:f>
        <x:v>63.86784377757261</x:v>
      </x:c>
      <x:c r="D8" s="244" t="n">
        <x:f>B8*C8</x:f>
        <x:v>25.547137511029046</x:v>
      </x:c>
      <x:c r="E8" s="363" t="str">
        <x:f>TEXT(DCF!B10,"0.0%")&amp;" WACC / "&amp;TEXT(DCF!B11,"0.0%")&amp;" terminal growth"</x:f>
        <x:v>7.0% WACC / 2.0% terminal growth</x:v>
      </x:c>
      <x:c r="F8" s="235"/>
      <x:c r="G8" s="235"/>
      <x:c r="H8" s="235"/>
      <x:c r="I8" s="234"/>
      <x:c r="J8" s="234"/>
      <x:c r="K8" s="234"/>
      <x:c r="L8" s="234"/>
      <x:c r="M8" s="234"/>
      <x:c r="N8" s="234"/>
      <x:c r="O8" s="234"/>
      <x:c r="P8" s="234"/>
      <x:c r="Q8" s="234"/>
      <x:c r="R8" s="234"/>
      <x:c r="S8" s="234"/>
      <x:c r="T8" s="234"/>
      <x:c r="U8" s="234"/>
      <x:c r="V8" s="234"/>
      <x:c r="W8" s="234"/>
      <x:c r="X8" s="234"/>
      <x:c r="Y8" s="234"/>
      <x:c r="Z8" s="234"/>
    </x:row>
    <x:row r="9">
      <x:c r="A9" s="235" t="str">
        <x:v>Abnormal earnings</x:v>
      </x:c>
      <x:c r="B9" s="242" t="n">
        <x:v>0.3</x:v>
      </x:c>
      <x:c r="C9" s="243" t="n">
        <x:f>Residual_Income!B28</x:f>
        <x:v>54.94331874858972</x:v>
      </x:c>
      <x:c r="D9" s="244" t="n">
        <x:f>B9*C9</x:f>
        <x:v>16.482995624576915</x:v>
      </x:c>
      <x:c r="E9" s="363" t="str">
        <x:f>TEXT(Residual_Income!B9,"0.0%")&amp;" cost of equity / "&amp;TEXT(Residual_Income!B10,"0.0%")&amp;" terminal RI growth"</x:f>
        <x:v>7.5% cost of equity / 2.0% terminal RI growth</x:v>
      </x:c>
      <x:c r="F9" s="235"/>
      <x:c r="G9" s="235"/>
      <x:c r="H9" s="235"/>
      <x:c r="I9" s="234"/>
      <x:c r="J9" s="234"/>
      <x:c r="K9" s="234"/>
      <x:c r="L9" s="234"/>
      <x:c r="M9" s="234"/>
      <x:c r="N9" s="234"/>
      <x:c r="O9" s="234"/>
      <x:c r="P9" s="234"/>
      <x:c r="Q9" s="234"/>
      <x:c r="R9" s="234"/>
      <x:c r="S9" s="234"/>
      <x:c r="T9" s="234"/>
      <x:c r="U9" s="234"/>
      <x:c r="V9" s="234"/>
      <x:c r="W9" s="234"/>
      <x:c r="X9" s="234"/>
      <x:c r="Y9" s="234"/>
      <x:c r="Z9" s="234"/>
    </x:row>
    <x:row r="10">
      <x:c r="A10" s="235" t="str">
        <x:v>Trading comparables</x:v>
      </x:c>
      <x:c r="B10" s="242" t="n">
        <x:v>0.3</x:v>
      </x:c>
      <x:c r="C10" s="243" t="n">
        <x:f>Comps!D17</x:f>
        <x:v>56.78530113078856</x:v>
      </x:c>
      <x:c r="D10" s="244" t="n">
        <x:f>B10*C10</x:f>
        <x:v>17.035590339236567</x:v>
      </x:c>
      <x:c r="E10" s="235" t="str">
        <x:v>Median FY2024 peer P/E and EV/EBITDA</x:v>
      </x:c>
      <x:c r="F10" s="235"/>
      <x:c r="G10" s="235"/>
      <x:c r="H10" s="235"/>
      <x:c r="I10" s="234"/>
      <x:c r="J10" s="234"/>
      <x:c r="K10" s="234"/>
      <x:c r="L10" s="234"/>
      <x:c r="M10" s="234"/>
      <x:c r="N10" s="234"/>
      <x:c r="O10" s="234"/>
      <x:c r="P10" s="234"/>
      <x:c r="Q10" s="234"/>
      <x:c r="R10" s="234"/>
      <x:c r="S10" s="234"/>
      <x:c r="T10" s="234"/>
      <x:c r="U10" s="234"/>
      <x:c r="V10" s="234"/>
      <x:c r="W10" s="234"/>
      <x:c r="X10" s="234"/>
      <x:c r="Y10" s="234"/>
      <x:c r="Z10" s="234"/>
    </x:row>
    <x:row r="11">
      <x:c r="A11" s="245" t="str">
        <x:v>Weighted scenario</x:v>
      </x:c>
      <x:c r="B11" s="245" t="str"/>
      <x:c r="C11" s="246" t="n">
        <x:f>D3</x:f>
        <x:v>59.06572347484253</x:v>
      </x:c>
      <x:c r="D11" s="343" t="n">
        <x:f>C11*DCF!B60</x:f>
        <x:v>48.97611659086993</x:v>
      </x:c>
      <x:c r="E11" s="235"/>
      <x:c r="F11" s="235"/>
      <x:c r="G11" s="235"/>
      <x:c r="H11" s="235"/>
      <x:c r="I11" s="234"/>
      <x:c r="J11" s="234"/>
      <x:c r="K11" s="234"/>
      <x:c r="L11" s="234"/>
      <x:c r="M11" s="234"/>
      <x:c r="N11" s="234"/>
      <x:c r="O11" s="234"/>
      <x:c r="P11" s="234"/>
      <x:c r="Q11" s="234"/>
      <x:c r="R11" s="234"/>
      <x:c r="S11" s="234"/>
      <x:c r="T11" s="234"/>
      <x:c r="U11" s="234"/>
      <x:c r="V11" s="234"/>
      <x:c r="W11" s="234"/>
      <x:c r="X11" s="234"/>
      <x:c r="Y11" s="234"/>
      <x:c r="Z11" s="234"/>
    </x:row>
    <x:row r="12">
      <x:c r="A12" s="235"/>
      <x:c r="B12" s="235"/>
      <x:c r="C12" s="235"/>
      <x:c r="D12" s="235"/>
      <x:c r="E12" s="235"/>
      <x:c r="F12" s="235"/>
      <x:c r="G12" s="235"/>
      <x:c r="H12" s="235"/>
      <x:c r="I12" s="234"/>
      <x:c r="J12" s="234"/>
      <x:c r="K12" s="234"/>
      <x:c r="L12" s="234"/>
      <x:c r="M12" s="234"/>
      <x:c r="N12" s="234"/>
      <x:c r="O12" s="234"/>
      <x:c r="P12" s="234"/>
      <x:c r="Q12" s="234"/>
      <x:c r="R12" s="234"/>
      <x:c r="S12" s="234"/>
      <x:c r="T12" s="234"/>
      <x:c r="U12" s="234"/>
      <x:c r="V12" s="234"/>
      <x:c r="W12" s="234"/>
      <x:c r="X12" s="234"/>
      <x:c r="Y12" s="234"/>
      <x:c r="Z12" s="234"/>
    </x:row>
    <x:row r="13" ht="21" customHeight="1">
      <x:c r="A13" s="58" t="str">
        <x:v>Financial Snapshot</x:v>
      </x:c>
      <x:c r="B13" s="58" t="str">
        <x:v>Financial Snapshot</x:v>
      </x:c>
      <x:c r="C13" s="58" t="str">
        <x:v>Financial Snapshot</x:v>
      </x:c>
      <x:c r="D13" s="58" t="str">
        <x:v>Financial Snapshot</x:v>
      </x:c>
      <x:c r="E13" s="58" t="str">
        <x:v>Financial Snapshot</x:v>
      </x:c>
      <x:c r="F13" s="58" t="str">
        <x:v>Financial Snapshot</x:v>
      </x:c>
      <x:c r="G13" s="58" t="str">
        <x:v>Financial Snapshot</x:v>
      </x:c>
      <x:c r="H13" s="58" t="str">
        <x:v>Financial Snapshot</x:v>
      </x:c>
      <x:c r="I13" s="234"/>
      <x:c r="J13" s="234"/>
      <x:c r="K13" s="234"/>
      <x:c r="L13" s="234"/>
      <x:c r="M13" s="234"/>
      <x:c r="N13" s="234"/>
      <x:c r="O13" s="234"/>
      <x:c r="P13" s="234"/>
      <x:c r="Q13" s="234"/>
      <x:c r="R13" s="234"/>
      <x:c r="S13" s="234"/>
      <x:c r="T13" s="234"/>
      <x:c r="U13" s="234"/>
      <x:c r="V13" s="234"/>
      <x:c r="W13" s="234"/>
      <x:c r="X13" s="234"/>
      <x:c r="Y13" s="234"/>
      <x:c r="Z13" s="234"/>
    </x:row>
    <x:row r="14" ht="30" customHeight="1">
      <x:c r="A14" s="28" t="str">
        <x:v>Metric</x:v>
      </x:c>
      <x:c r="B14" s="28" t="str">
        <x:v>2020</x:v>
      </x:c>
      <x:c r="C14" s="28" t="str">
        <x:v>2021</x:v>
      </x:c>
      <x:c r="D14" s="28" t="str">
        <x:v>2022</x:v>
      </x:c>
      <x:c r="E14" s="28" t="str">
        <x:v>2023</x:v>
      </x:c>
      <x:c r="F14" s="28" t="str">
        <x:v>2024</x:v>
      </x:c>
      <x:c r="G14" s="28" t="str">
        <x:v>5Y Direction</x:v>
      </x:c>
      <x:c r="H14" s="28" t="str">
        <x:v>Interpretation</x:v>
      </x:c>
      <x:c r="I14" s="234"/>
      <x:c r="J14" s="234"/>
      <x:c r="K14" s="234"/>
      <x:c r="L14" s="234"/>
      <x:c r="M14" s="234"/>
      <x:c r="N14" s="234"/>
      <x:c r="O14" s="234"/>
      <x:c r="P14" s="234"/>
      <x:c r="Q14" s="234"/>
      <x:c r="R14" s="234"/>
      <x:c r="S14" s="234"/>
      <x:c r="T14" s="234"/>
      <x:c r="U14" s="234"/>
      <x:c r="V14" s="234"/>
      <x:c r="W14" s="234"/>
      <x:c r="X14" s="234"/>
      <x:c r="Y14" s="234"/>
      <x:c r="Z14" s="234"/>
    </x:row>
    <x:row r="15">
      <x:c r="A15" s="235" t="str">
        <x:v>Turnover (€bn)</x:v>
      </x:c>
      <x:c r="B15" s="344" t="n">
        <x:f>Historicals!C5</x:f>
        <x:v>50.724</x:v>
      </x:c>
      <x:c r="C15" s="344" t="n">
        <x:f>Historicals!D5</x:f>
        <x:v>52.444</x:v>
      </x:c>
      <x:c r="D15" s="344" t="n">
        <x:f>Historicals!E5</x:f>
        <x:v>60.073</x:v>
      </x:c>
      <x:c r="E15" s="344" t="n">
        <x:f>Historicals!F5</x:f>
        <x:v>59.604</x:v>
      </x:c>
      <x:c r="F15" s="344" t="n">
        <x:f>Historicals!G5</x:f>
        <x:v>60.761</x:v>
      </x:c>
      <x:c r="G15" s="235" t="str">
        <x:v>↑</x:v>
      </x:c>
      <x:c r="H15" s="235" t="str">
        <x:v>Pricing drove 2022-23; volume-led growth returned in 2024.</x:v>
      </x:c>
      <x:c r="I15" s="234"/>
      <x:c r="J15" s="234"/>
      <x:c r="K15" s="234"/>
      <x:c r="L15" s="234"/>
      <x:c r="M15" s="234"/>
      <x:c r="N15" s="234"/>
      <x:c r="O15" s="234"/>
      <x:c r="P15" s="234"/>
      <x:c r="Q15" s="234"/>
      <x:c r="R15" s="234"/>
      <x:c r="S15" s="234"/>
      <x:c r="T15" s="234"/>
      <x:c r="U15" s="234"/>
      <x:c r="V15" s="234"/>
      <x:c r="W15" s="234"/>
      <x:c r="X15" s="234"/>
      <x:c r="Y15" s="234"/>
      <x:c r="Z15" s="234"/>
    </x:row>
    <x:row r="16">
      <x:c r="A16" s="235" t="str">
        <x:v>Underlying operating margin</x:v>
      </x:c>
      <x:c r="B16" s="345" t="n">
        <x:f>Historicals!C12</x:f>
        <x:v>0.185</x:v>
      </x:c>
      <x:c r="C16" s="345" t="n">
        <x:f>Historicals!D12</x:f>
        <x:v>0.184</x:v>
      </x:c>
      <x:c r="D16" s="345" t="n">
        <x:f>Historicals!E12</x:f>
        <x:v>0.161</x:v>
      </x:c>
      <x:c r="E16" s="345" t="n">
        <x:f>Historicals!F12</x:f>
        <x:v>0.167</x:v>
      </x:c>
      <x:c r="F16" s="345" t="n">
        <x:f>Historicals!G12</x:f>
        <x:v>0.184</x:v>
      </x:c>
      <x:c r="G16" s="235" t="str">
        <x:v>↔</x:v>
      </x:c>
      <x:c r="H16" s="235" t="str">
        <x:v>Inflation compression reversed; 2024 nearly back to 2020 level.</x:v>
      </x:c>
      <x:c r="I16" s="234"/>
      <x:c r="J16" s="234"/>
      <x:c r="K16" s="234"/>
      <x:c r="L16" s="234"/>
      <x:c r="M16" s="234"/>
      <x:c r="N16" s="234"/>
      <x:c r="O16" s="234"/>
      <x:c r="P16" s="234"/>
      <x:c r="Q16" s="234"/>
      <x:c r="R16" s="234"/>
      <x:c r="S16" s="234"/>
      <x:c r="T16" s="234"/>
      <x:c r="U16" s="234"/>
      <x:c r="V16" s="234"/>
      <x:c r="W16" s="234"/>
      <x:c r="X16" s="234"/>
      <x:c r="Y16" s="234"/>
      <x:c r="Z16" s="234"/>
    </x:row>
    <x:row r="17">
      <x:c r="A17" s="235" t="str">
        <x:v>Free cash flow (€bn)</x:v>
      </x:c>
      <x:c r="B17" s="344" t="n">
        <x:f>Historicals!C17</x:f>
        <x:v>7.671</x:v>
      </x:c>
      <x:c r="C17" s="344" t="n">
        <x:f>Historicals!D17</x:f>
        <x:v>6.393</x:v>
      </x:c>
      <x:c r="D17" s="344" t="n">
        <x:f>Historicals!E17</x:f>
        <x:v>5.198</x:v>
      </x:c>
      <x:c r="E17" s="344" t="n">
        <x:f>Historicals!F17</x:f>
        <x:v>7.091</x:v>
      </x:c>
      <x:c r="F17" s="344" t="n">
        <x:f>Historicals!G17</x:f>
        <x:v>6.932</x:v>
      </x:c>
      <x:c r="G17" s="235" t="str">
        <x:v>↔</x:v>
      </x:c>
      <x:c r="H17" s="235" t="str">
        <x:v>Strong cash generation, though 2020 was unusually favourable.</x:v>
      </x:c>
      <x:c r="I17" s="234"/>
      <x:c r="J17" s="234"/>
      <x:c r="K17" s="234"/>
      <x:c r="L17" s="234"/>
      <x:c r="M17" s="234"/>
      <x:c r="N17" s="234"/>
      <x:c r="O17" s="234"/>
      <x:c r="P17" s="234"/>
      <x:c r="Q17" s="234"/>
      <x:c r="R17" s="234"/>
      <x:c r="S17" s="234"/>
      <x:c r="T17" s="234"/>
      <x:c r="U17" s="234"/>
      <x:c r="V17" s="234"/>
      <x:c r="W17" s="234"/>
      <x:c r="X17" s="234"/>
      <x:c r="Y17" s="234"/>
      <x:c r="Z17" s="234"/>
    </x:row>
    <x:row r="18">
      <x:c r="A18" s="235" t="str">
        <x:v>Reported ROE</x:v>
      </x:c>
      <x:c r="B18" s="249" t="n">
        <x:f>ROE_DuPont!C12</x:f>
        <x:v>0.3922271417527586</x:v>
      </x:c>
      <x:c r="C18" s="249" t="n">
        <x:f>ROE_DuPont!D12</x:f>
        <x:v>0.37370648379822696</x:v>
      </x:c>
      <x:c r="D18" s="249" t="n">
        <x:f>ROE_DuPont!E12</x:f>
        <x:v>0.42305137289636846</x:v>
      </x:c>
      <x:c r="E18" s="249" t="n">
        <x:f>ROE_DuPont!F12</x:f>
        <x:v>0.3494868410419416</x:v>
      </x:c>
      <x:c r="F18" s="249" t="n">
        <x:f>ROE_DuPont!G12</x:f>
        <x:v>0.3015856347789562</x:v>
      </x:c>
      <x:c r="G18" s="235" t="str">
        <x:v>↓</x:v>
      </x:c>
      <x:c r="H18" s="235" t="str">
        <x:v>ROE normalised after 2022 disposal-gain distortion and lower leverage.</x:v>
      </x:c>
      <x:c r="I18" s="234"/>
      <x:c r="J18" s="234"/>
      <x:c r="K18" s="234"/>
      <x:c r="L18" s="234"/>
      <x:c r="M18" s="234"/>
      <x:c r="N18" s="234"/>
      <x:c r="O18" s="234"/>
      <x:c r="P18" s="234"/>
      <x:c r="Q18" s="234"/>
      <x:c r="R18" s="234"/>
      <x:c r="S18" s="234"/>
      <x:c r="T18" s="234"/>
      <x:c r="U18" s="234"/>
      <x:c r="V18" s="234"/>
      <x:c r="W18" s="234"/>
      <x:c r="X18" s="234"/>
      <x:c r="Y18" s="234"/>
      <x:c r="Z18" s="234"/>
    </x:row>
    <x:row r="19">
      <x:c r="A19" s="235" t="str">
        <x:v>Underlying EPS (€)</x:v>
      </x:c>
      <x:c r="B19" s="346" t="n">
        <x:f>Historicals!C15</x:f>
        <x:v>2.48</x:v>
      </x:c>
      <x:c r="C19" s="346" t="n">
        <x:f>Historicals!D15</x:f>
        <x:v>2.62</x:v>
      </x:c>
      <x:c r="D19" s="346" t="n">
        <x:f>Historicals!E15</x:f>
        <x:v>2.57</x:v>
      </x:c>
      <x:c r="E19" s="346" t="n">
        <x:f>Historicals!F15</x:f>
        <x:v>2.6</x:v>
      </x:c>
      <x:c r="F19" s="346" t="n">
        <x:f>Historicals!G15</x:f>
        <x:v>2.98</x:v>
      </x:c>
      <x:c r="G19" s="235" t="str">
        <x:v>↑</x:v>
      </x:c>
      <x:c r="H19" s="235" t="str">
        <x:v>2024 shows a material underlying earnings acceleration.</x:v>
      </x:c>
      <x:c r="I19" s="234"/>
      <x:c r="J19" s="234"/>
      <x:c r="K19" s="234"/>
      <x:c r="L19" s="234"/>
      <x:c r="M19" s="234"/>
      <x:c r="N19" s="234"/>
      <x:c r="O19" s="234"/>
      <x:c r="P19" s="234"/>
      <x:c r="Q19" s="234"/>
      <x:c r="R19" s="234"/>
      <x:c r="S19" s="234"/>
      <x:c r="T19" s="234"/>
      <x:c r="U19" s="234"/>
      <x:c r="V19" s="234"/>
      <x:c r="W19" s="234"/>
      <x:c r="X19" s="234"/>
      <x:c r="Y19" s="234"/>
      <x:c r="Z19" s="234"/>
    </x:row>
    <x:row r="20">
      <x:c r="A20" s="235"/>
      <x:c r="B20" s="235"/>
      <x:c r="C20" s="235"/>
      <x:c r="D20" s="235"/>
      <x:c r="E20" s="235"/>
      <x:c r="F20" s="235"/>
      <x:c r="G20" s="235"/>
      <x:c r="H20" s="235"/>
      <x:c r="I20" s="234"/>
      <x:c r="J20" s="234"/>
      <x:c r="K20" s="234"/>
      <x:c r="L20" s="234"/>
      <x:c r="M20" s="234"/>
      <x:c r="N20" s="234"/>
      <x:c r="O20" s="234"/>
      <x:c r="P20" s="234"/>
      <x:c r="Q20" s="234"/>
      <x:c r="R20" s="234"/>
      <x:c r="S20" s="234"/>
      <x:c r="T20" s="234"/>
      <x:c r="U20" s="234"/>
      <x:c r="V20" s="234"/>
      <x:c r="W20" s="234"/>
      <x:c r="X20" s="234"/>
      <x:c r="Y20" s="234"/>
      <x:c r="Z20" s="234"/>
    </x:row>
    <x:row r="21" ht="21" customHeight="1">
      <x:c r="A21" s="58" t="str">
        <x:v>Investment Thesis, Catalysts &amp; Risks</x:v>
      </x:c>
      <x:c r="B21" s="58" t="str">
        <x:v>Investment Thesis, Catalysts &amp; Risks</x:v>
      </x:c>
      <x:c r="C21" s="58" t="str">
        <x:v>Investment Thesis, Catalysts &amp; Risks</x:v>
      </x:c>
      <x:c r="D21" s="58" t="str">
        <x:v>Investment Thesis, Catalysts &amp; Risks</x:v>
      </x:c>
      <x:c r="E21" s="58" t="str">
        <x:v>Investment Thesis, Catalysts &amp; Risks</x:v>
      </x:c>
      <x:c r="F21" s="58" t="str">
        <x:v>Investment Thesis, Catalysts &amp; Risks</x:v>
      </x:c>
      <x:c r="G21" s="58" t="str">
        <x:v>Investment Thesis, Catalysts &amp; Risks</x:v>
      </x:c>
      <x:c r="H21" s="58" t="str">
        <x:v>Investment Thesis, Catalysts &amp; Risks</x:v>
      </x:c>
      <x:c r="I21" s="234"/>
      <x:c r="J21" s="234"/>
      <x:c r="K21" s="234"/>
      <x:c r="L21" s="234"/>
      <x:c r="M21" s="234"/>
      <x:c r="N21" s="234"/>
      <x:c r="O21" s="234"/>
      <x:c r="P21" s="234"/>
      <x:c r="Q21" s="234"/>
      <x:c r="R21" s="234"/>
      <x:c r="S21" s="234"/>
      <x:c r="T21" s="234"/>
      <x:c r="U21" s="234"/>
      <x:c r="V21" s="234"/>
      <x:c r="W21" s="234"/>
      <x:c r="X21" s="234"/>
      <x:c r="Y21" s="234"/>
      <x:c r="Z21" s="234"/>
    </x:row>
    <x:row r="22">
      <x:c r="A22" s="324" t="str">
        <x:v>Investment Thesis</x:v>
      </x:c>
      <x:c r="B22" s="324" t="str"/>
      <x:c r="C22" s="324" t="str">
        <x:v>Catalysts</x:v>
      </x:c>
      <x:c r="D22" s="324" t="str"/>
      <x:c r="E22" s="251"/>
      <x:c r="F22" s="324" t="str">
        <x:v>Key Risks</x:v>
      </x:c>
      <x:c r="G22" s="324" t="str"/>
      <x:c r="H22" s="324" t="str"/>
      <x:c r="I22" s="234"/>
      <x:c r="J22" s="234"/>
      <x:c r="K22" s="234"/>
      <x:c r="L22" s="234"/>
      <x:c r="M22" s="234"/>
      <x:c r="N22" s="234"/>
      <x:c r="O22" s="234"/>
      <x:c r="P22" s="234"/>
      <x:c r="Q22" s="234"/>
      <x:c r="R22" s="234"/>
      <x:c r="S22" s="234"/>
      <x:c r="T22" s="234"/>
      <x:c r="U22" s="234"/>
      <x:c r="V22" s="234"/>
      <x:c r="W22" s="234"/>
      <x:c r="X22" s="234"/>
      <x:c r="Y22" s="234"/>
      <x:c r="Z22" s="234"/>
    </x:row>
    <x:row r="23" ht="38" customHeight="1">
      <x:c r="A23" s="252" t="str">
        <x:v>1. Volume recovery across all Business Groups improves operating leverage.</x:v>
      </x:c>
      <x:c r="B23" s="252" t="str">
        <x:v>Volume recovery across all Business Groups improves operating leverage.</x:v>
      </x:c>
      <x:c r="C23" s="252" t="str">
        <x:v>1. Sustained positive volume growth with modest pricing.</x:v>
      </x:c>
      <x:c r="D23" s="252" t="str">
        <x:v>Sustained positive volume growth with modest pricing.</x:v>
      </x:c>
      <x:c r="E23" s="252"/>
      <x:c r="F23" s="252" t="str">
        <x:v>1. FX volatility and emerging-market macro risk.</x:v>
      </x:c>
      <x:c r="G23" s="252" t="str">
        <x:v>FX volatility and emerging-market macro risk</x:v>
      </x:c>
      <x:c r="H23" s="252" t="str"/>
      <x:c r="I23" s="234"/>
      <x:c r="J23" s="234"/>
      <x:c r="K23" s="234"/>
      <x:c r="L23" s="234"/>
      <x:c r="M23" s="234"/>
      <x:c r="N23" s="234"/>
      <x:c r="O23" s="234"/>
      <x:c r="P23" s="234"/>
      <x:c r="Q23" s="234"/>
      <x:c r="R23" s="234"/>
      <x:c r="S23" s="234"/>
      <x:c r="T23" s="234"/>
      <x:c r="U23" s="234"/>
      <x:c r="V23" s="234"/>
      <x:c r="W23" s="234"/>
      <x:c r="X23" s="234"/>
      <x:c r="Y23" s="234"/>
      <x:c r="Z23" s="234"/>
    </x:row>
    <x:row r="24" ht="38" customHeight="1">
      <x:c r="A24" s="252" t="str">
        <x:v>2. Gross-margin rebuilding creates room for brand investment and margin expansion.</x:v>
      </x:c>
      <x:c r="B24" s="252" t="str">
        <x:v>Gross-margin rebuilding creates room for brand investment and margin expansion.</x:v>
      </x:c>
      <x:c r="C24" s="252" t="str">
        <x:v>2. Further productivity savings and overhead discipline.</x:v>
      </x:c>
      <x:c r="D24" s="252" t="str">
        <x:v>Further productivity savings and overhead discipline.</x:v>
      </x:c>
      <x:c r="E24" s="252"/>
      <x:c r="F24" s="252" t="str">
        <x:v>2. Commodity / logistics cost inflation.</x:v>
      </x:c>
      <x:c r="G24" s="252" t="str">
        <x:v>Commodity / logistics cost inflation</x:v>
      </x:c>
      <x:c r="H24" s="252" t="str"/>
      <x:c r="I24" s="234"/>
      <x:c r="J24" s="234"/>
      <x:c r="K24" s="234"/>
      <x:c r="L24" s="234"/>
      <x:c r="M24" s="234"/>
      <x:c r="N24" s="234"/>
      <x:c r="O24" s="234"/>
      <x:c r="P24" s="234"/>
      <x:c r="Q24" s="234"/>
      <x:c r="R24" s="234"/>
      <x:c r="S24" s="234"/>
      <x:c r="T24" s="234"/>
      <x:c r="U24" s="234"/>
      <x:c r="V24" s="234"/>
      <x:c r="W24" s="234"/>
      <x:c r="X24" s="234"/>
      <x:c r="Y24" s="234"/>
      <x:c r="Z24" s="234"/>
    </x:row>
    <x:row r="25" ht="38" customHeight="1">
      <x:c r="A25" s="252" t="str">
        <x:v>3. Power Brands and portfolio simplification support better capital allocation.</x:v>
      </x:c>
      <x:c r="B25" s="252" t="str">
        <x:v>Power Brands and portfolio simplification support better capital allocation.</x:v>
      </x:c>
      <x:c r="C25" s="252" t="str">
        <x:v>3. Successful execution of portfolio simplification / Ice Cream separation plan.</x:v>
      </x:c>
      <x:c r="D25" s="252" t="str">
        <x:v>Successful execution of portfolio simplification / Ice Cream separation plan.</x:v>
      </x:c>
      <x:c r="E25" s="252"/>
      <x:c r="F25" s="252" t="str">
        <x:v>3. Execution risk from restructuring and portfolio separation.</x:v>
      </x:c>
      <x:c r="G25" s="252" t="str">
        <x:v>Execution risk from restructuring and portfolio separation</x:v>
      </x:c>
      <x:c r="H25" s="252" t="str"/>
      <x:c r="I25" s="234"/>
      <x:c r="J25" s="234"/>
      <x:c r="K25" s="234"/>
      <x:c r="L25" s="234"/>
      <x:c r="M25" s="234"/>
      <x:c r="N25" s="234"/>
      <x:c r="O25" s="234"/>
      <x:c r="P25" s="234"/>
      <x:c r="Q25" s="234"/>
      <x:c r="R25" s="234"/>
      <x:c r="S25" s="234"/>
      <x:c r="T25" s="234"/>
      <x:c r="U25" s="234"/>
      <x:c r="V25" s="234"/>
      <x:c r="W25" s="234"/>
      <x:c r="X25" s="234"/>
      <x:c r="Y25" s="234"/>
      <x:c r="Z25" s="234"/>
    </x:row>
    <x:row r="26" ht="38" customHeight="1">
      <x:c r="A26" s="252" t="str">
        <x:v>4. Cash conversion remains strong, supporting dividends/buybacks and debt capacity.</x:v>
      </x:c>
      <x:c r="B26" s="252" t="str">
        <x:v>Cash conversion remains strong, supporting dividends/buybacks and debt capacity.</x:v>
      </x:c>
      <x:c r="C26" s="252" t="str">
        <x:v>4. Improved market share / competitiveness of Power Brands.</x:v>
      </x:c>
      <x:c r="D26" s="252" t="str">
        <x:v>Improved market share / competitiveness of Power Brands.</x:v>
      </x:c>
      <x:c r="E26" s="252"/>
      <x:c r="F26" s="252" t="str">
        <x:v>4. Slower consumer demand / price elasticity.</x:v>
      </x:c>
      <x:c r="G26" s="252" t="str">
        <x:v>Slower consumer demand / price elasticity</x:v>
      </x:c>
      <x:c r="H26" s="252" t="str"/>
      <x:c r="I26" s="234"/>
      <x:c r="J26" s="234"/>
      <x:c r="K26" s="234"/>
      <x:c r="L26" s="234"/>
      <x:c r="M26" s="234"/>
      <x:c r="N26" s="234"/>
      <x:c r="O26" s="234"/>
      <x:c r="P26" s="234"/>
      <x:c r="Q26" s="234"/>
      <x:c r="R26" s="234"/>
      <x:c r="S26" s="234"/>
      <x:c r="T26" s="234"/>
      <x:c r="U26" s="234"/>
      <x:c r="V26" s="234"/>
      <x:c r="W26" s="234"/>
      <x:c r="X26" s="234"/>
      <x:c r="Y26" s="234"/>
      <x:c r="Z26" s="234"/>
    </x:row>
    <x:row r="27" ht="38" customHeight="1">
      <x:c r="A27" s="252" t="str">
        <x:v>5. High ROIC and residual income support valuation despite mature-category growth.</x:v>
      </x:c>
      <x:c r="B27" s="252" t="str">
        <x:v>High ROIC and residual income support valuation despite mature-category growth.</x:v>
      </x:c>
      <x:c r="C27" s="252" t="str">
        <x:v>5. Stable input costs and better emerging-market mix.</x:v>
      </x:c>
      <x:c r="D27" s="252" t="str">
        <x:v>Stable input costs and better emerging-market mix.</x:v>
      </x:c>
      <x:c r="E27" s="252"/>
      <x:c r="F27" s="252" t="str">
        <x:v>5. Valuation de-rating if margin recovery stalls.</x:v>
      </x:c>
      <x:c r="G27" s="252" t="str">
        <x:v>Valuation de-rating if margin recovery stalls</x:v>
      </x:c>
      <x:c r="H27" s="252" t="str"/>
      <x:c r="I27" s="234"/>
      <x:c r="J27" s="234"/>
      <x:c r="K27" s="234"/>
      <x:c r="L27" s="234"/>
      <x:c r="M27" s="234"/>
      <x:c r="N27" s="234"/>
      <x:c r="O27" s="234"/>
      <x:c r="P27" s="234"/>
      <x:c r="Q27" s="234"/>
      <x:c r="R27" s="234"/>
      <x:c r="S27" s="234"/>
      <x:c r="T27" s="234"/>
      <x:c r="U27" s="234"/>
      <x:c r="V27" s="234"/>
      <x:c r="W27" s="234"/>
      <x:c r="X27" s="234"/>
      <x:c r="Y27" s="234"/>
      <x:c r="Z27" s="234"/>
    </x:row>
    <x:row r="28">
      <x:c r="A28" s="235"/>
      <x:c r="B28" s="235"/>
      <x:c r="C28" s="235"/>
      <x:c r="D28" s="235"/>
      <x:c r="E28" s="235"/>
      <x:c r="F28" s="235"/>
      <x:c r="G28" s="235"/>
      <x:c r="H28" s="235"/>
      <x:c r="I28" s="234"/>
      <x:c r="J28" s="234"/>
      <x:c r="K28" s="234"/>
      <x:c r="L28" s="234"/>
      <x:c r="M28" s="234"/>
      <x:c r="N28" s="234"/>
      <x:c r="O28" s="234"/>
      <x:c r="P28" s="234"/>
      <x:c r="Q28" s="234"/>
      <x:c r="R28" s="234"/>
      <x:c r="S28" s="234"/>
      <x:c r="T28" s="234"/>
      <x:c r="U28" s="234"/>
      <x:c r="V28" s="234"/>
      <x:c r="W28" s="234"/>
      <x:c r="X28" s="234"/>
      <x:c r="Y28" s="234"/>
      <x:c r="Z28" s="234"/>
    </x:row>
    <x:row r="29">
      <x:c r="A29" s="368" t="str">
        <x:v>Weights are illustrative. Peer inputs and residual-income assumptions need further validation.</x:v>
      </x:c>
      <x:c r="B29" s="368"/>
      <x:c r="C29" s="368"/>
      <x:c r="D29" s="368"/>
      <x:c r="E29" s="368"/>
      <x:c r="F29" s="368"/>
      <x:c r="G29" s="368"/>
      <x:c r="H29" s="368"/>
      <x:c r="I29" s="234"/>
      <x:c r="J29" s="234"/>
      <x:c r="K29" s="234"/>
      <x:c r="L29" s="234"/>
      <x:c r="M29" s="234"/>
      <x:c r="N29" s="234"/>
      <x:c r="O29" s="234"/>
      <x:c r="P29" s="234"/>
      <x:c r="Q29" s="234"/>
      <x:c r="R29" s="234"/>
      <x:c r="S29" s="234"/>
      <x:c r="T29" s="234"/>
      <x:c r="U29" s="234"/>
      <x:c r="V29" s="234"/>
      <x:c r="W29" s="234"/>
      <x:c r="X29" s="234"/>
      <x:c r="Y29" s="234"/>
      <x:c r="Z29" s="234"/>
    </x:row>
    <x:row r="30">
      <x:c r="A30" s="235"/>
      <x:c r="B30" s="235"/>
      <x:c r="C30" s="235"/>
      <x:c r="D30" s="235"/>
      <x:c r="E30" s="235"/>
      <x:c r="F30" s="235"/>
      <x:c r="G30" s="235"/>
      <x:c r="H30" s="235"/>
      <x:c r="I30" s="234"/>
      <x:c r="J30" s="234"/>
      <x:c r="K30" s="234"/>
      <x:c r="L30" s="234"/>
      <x:c r="M30" s="234"/>
      <x:c r="N30" s="234"/>
      <x:c r="O30" s="234"/>
      <x:c r="P30" s="234"/>
      <x:c r="Q30" s="234"/>
      <x:c r="R30" s="234"/>
      <x:c r="S30" s="234"/>
      <x:c r="T30" s="234"/>
      <x:c r="U30" s="234"/>
      <x:c r="V30" s="234"/>
      <x:c r="W30" s="234"/>
      <x:c r="X30" s="234"/>
      <x:c r="Y30" s="234"/>
      <x:c r="Z30" s="234"/>
    </x:row>
    <x:row r="31">
      <x:c r="A31" s="368" t="str">
        <x:v>Method weights must be numeric, non-negative and sum to 100%.</x:v>
      </x:c>
      <x:c r="B31" s="368"/>
      <x:c r="C31" s="368"/>
      <x:c r="D31" s="368"/>
      <x:c r="E31" s="368"/>
      <x:c r="F31" s="368"/>
      <x:c r="G31" s="368"/>
      <x:c r="H31" s="368"/>
      <x:c r="I31" s="234"/>
      <x:c r="J31" s="234"/>
      <x:c r="K31" s="234"/>
      <x:c r="L31" s="234"/>
      <x:c r="M31" s="234"/>
      <x:c r="N31" s="234"/>
      <x:c r="O31" s="234"/>
      <x:c r="P31" s="234"/>
      <x:c r="Q31" s="234"/>
      <x:c r="R31" s="234"/>
      <x:c r="S31" s="234"/>
      <x:c r="T31" s="234"/>
      <x:c r="U31" s="234"/>
      <x:c r="V31" s="234"/>
      <x:c r="W31" s="234"/>
      <x:c r="X31" s="234"/>
      <x:c r="Y31" s="234"/>
      <x:c r="Z31" s="234"/>
    </x:row>
    <x:row r="32">
      <x:c r="A32" s="235"/>
      <x:c r="B32" s="235"/>
      <x:c r="C32" s="235"/>
      <x:c r="D32" s="235"/>
      <x:c r="E32" s="235"/>
      <x:c r="F32" s="235"/>
      <x:c r="G32" s="235"/>
      <x:c r="H32" s="235"/>
      <x:c r="I32" s="234"/>
      <x:c r="J32" s="234"/>
      <x:c r="K32" s="234"/>
      <x:c r="L32" s="234"/>
      <x:c r="M32" s="234"/>
      <x:c r="N32" s="234"/>
      <x:c r="O32" s="234"/>
      <x:c r="P32" s="234"/>
      <x:c r="Q32" s="234"/>
      <x:c r="R32" s="234"/>
      <x:c r="S32" s="234"/>
      <x:c r="T32" s="234"/>
      <x:c r="U32" s="234"/>
      <x:c r="V32" s="234"/>
      <x:c r="W32" s="234"/>
      <x:c r="X32" s="234"/>
      <x:c r="Y32" s="234"/>
      <x:c r="Z32" s="234"/>
    </x:row>
    <x:row r="33">
      <x:c r="A33" s="234"/>
      <x:c r="B33" s="234"/>
      <x:c r="C33" s="234"/>
      <x:c r="D33" s="234"/>
      <x:c r="E33" s="234"/>
      <x:c r="F33" s="234"/>
      <x:c r="G33" s="234"/>
      <x:c r="H33" s="234"/>
      <x:c r="I33" s="234"/>
      <x:c r="J33" s="234"/>
      <x:c r="K33" s="234"/>
      <x:c r="L33" s="234"/>
      <x:c r="M33" s="234"/>
      <x:c r="N33" s="234"/>
      <x:c r="O33" s="234"/>
      <x:c r="P33" s="234"/>
      <x:c r="Q33" s="234"/>
      <x:c r="R33" s="234"/>
      <x:c r="S33" s="234"/>
      <x:c r="T33" s="234"/>
      <x:c r="U33" s="234"/>
      <x:c r="V33" s="234"/>
      <x:c r="W33" s="234"/>
      <x:c r="X33" s="234"/>
      <x:c r="Y33" s="234"/>
      <x:c r="Z33" s="234"/>
    </x:row>
    <x:row r="34">
      <x:c r="A34" s="234"/>
      <x:c r="B34" s="234"/>
      <x:c r="C34" s="234"/>
      <x:c r="D34" s="234"/>
      <x:c r="E34" s="234"/>
      <x:c r="F34" s="234"/>
      <x:c r="G34" s="234"/>
      <x:c r="H34" s="234"/>
      <x:c r="I34" s="234"/>
      <x:c r="J34" s="234"/>
      <x:c r="K34" s="234"/>
      <x:c r="L34" s="234"/>
      <x:c r="M34" s="234"/>
      <x:c r="N34" s="234"/>
      <x:c r="O34" s="234"/>
      <x:c r="P34" s="234"/>
      <x:c r="Q34" s="234"/>
      <x:c r="R34" s="234"/>
      <x:c r="S34" s="234"/>
      <x:c r="T34" s="234"/>
      <x:c r="U34" s="234"/>
      <x:c r="V34" s="234"/>
      <x:c r="W34" s="234"/>
      <x:c r="X34" s="234"/>
      <x:c r="Y34" s="234"/>
      <x:c r="Z34" s="234"/>
    </x:row>
    <x:row r="35">
      <x:c r="A35" s="234"/>
      <x:c r="B35" s="234"/>
      <x:c r="C35" s="234"/>
      <x:c r="D35" s="234"/>
      <x:c r="E35" s="234"/>
      <x:c r="F35" s="234"/>
      <x:c r="G35" s="234"/>
      <x:c r="H35" s="234"/>
      <x:c r="I35" s="234"/>
      <x:c r="J35" s="234"/>
      <x:c r="K35" s="234"/>
      <x:c r="L35" s="234"/>
      <x:c r="M35" s="234"/>
      <x:c r="N35" s="234"/>
      <x:c r="O35" s="234"/>
      <x:c r="P35" s="234"/>
      <x:c r="Q35" s="234"/>
      <x:c r="R35" s="234"/>
      <x:c r="S35" s="234"/>
      <x:c r="T35" s="234"/>
      <x:c r="U35" s="234"/>
      <x:c r="V35" s="234"/>
      <x:c r="W35" s="234"/>
      <x:c r="X35" s="234"/>
      <x:c r="Y35" s="234"/>
      <x:c r="Z35" s="234"/>
    </x:row>
    <x:row r="36">
      <x:c r="A36" s="234"/>
      <x:c r="B36" s="234"/>
      <x:c r="C36" s="234"/>
      <x:c r="D36" s="234"/>
      <x:c r="E36" s="234"/>
      <x:c r="F36" s="234"/>
      <x:c r="G36" s="234"/>
      <x:c r="H36" s="234"/>
      <x:c r="I36" s="234"/>
      <x:c r="J36" s="234"/>
      <x:c r="K36" s="234"/>
      <x:c r="L36" s="234"/>
      <x:c r="M36" s="234"/>
      <x:c r="N36" s="234"/>
      <x:c r="O36" s="234"/>
      <x:c r="P36" s="234"/>
      <x:c r="Q36" s="234"/>
      <x:c r="R36" s="234"/>
      <x:c r="S36" s="234"/>
      <x:c r="T36" s="234"/>
      <x:c r="U36" s="234"/>
      <x:c r="V36" s="234"/>
      <x:c r="W36" s="234"/>
      <x:c r="X36" s="234"/>
      <x:c r="Y36" s="234"/>
      <x:c r="Z36" s="234"/>
    </x:row>
    <x:row r="37">
      <x:c r="A37" s="234"/>
      <x:c r="B37" s="234"/>
      <x:c r="C37" s="234"/>
      <x:c r="D37" s="234"/>
      <x:c r="E37" s="234"/>
      <x:c r="F37" s="234"/>
      <x:c r="G37" s="234"/>
      <x:c r="H37" s="234"/>
      <x:c r="I37" s="234"/>
      <x:c r="J37" s="234"/>
      <x:c r="K37" s="234"/>
      <x:c r="L37" s="234"/>
      <x:c r="M37" s="234"/>
      <x:c r="N37" s="234"/>
      <x:c r="O37" s="234"/>
      <x:c r="P37" s="234"/>
      <x:c r="Q37" s="234"/>
      <x:c r="R37" s="234"/>
      <x:c r="S37" s="234"/>
      <x:c r="T37" s="234"/>
      <x:c r="U37" s="234"/>
      <x:c r="V37" s="234"/>
      <x:c r="W37" s="234"/>
      <x:c r="X37" s="234"/>
      <x:c r="Y37" s="234"/>
      <x:c r="Z37" s="234"/>
    </x:row>
    <x:row r="38">
      <x:c r="A38" s="234"/>
      <x:c r="B38" s="234"/>
      <x:c r="C38" s="234"/>
      <x:c r="D38" s="234"/>
      <x:c r="E38" s="234"/>
      <x:c r="F38" s="234"/>
      <x:c r="G38" s="234"/>
      <x:c r="H38" s="234"/>
      <x:c r="I38" s="234"/>
      <x:c r="J38" s="234"/>
      <x:c r="K38" s="234"/>
      <x:c r="L38" s="234"/>
      <x:c r="M38" s="234"/>
      <x:c r="N38" s="234"/>
      <x:c r="O38" s="234"/>
      <x:c r="P38" s="234"/>
      <x:c r="Q38" s="234"/>
      <x:c r="R38" s="234"/>
      <x:c r="S38" s="234"/>
      <x:c r="T38" s="234"/>
      <x:c r="U38" s="234"/>
      <x:c r="V38" s="234"/>
      <x:c r="W38" s="234"/>
      <x:c r="X38" s="234"/>
      <x:c r="Y38" s="234"/>
      <x:c r="Z38" s="234"/>
    </x:row>
    <x:row r="39">
      <x:c r="A39" s="234"/>
      <x:c r="B39" s="234"/>
      <x:c r="C39" s="234"/>
      <x:c r="D39" s="234"/>
      <x:c r="E39" s="234"/>
      <x:c r="F39" s="234"/>
      <x:c r="G39" s="234"/>
      <x:c r="H39" s="234"/>
      <x:c r="I39" s="234"/>
      <x:c r="J39" s="234"/>
      <x:c r="K39" s="234"/>
      <x:c r="L39" s="234"/>
      <x:c r="M39" s="234"/>
      <x:c r="N39" s="234"/>
      <x:c r="O39" s="234"/>
      <x:c r="P39" s="234"/>
      <x:c r="Q39" s="234"/>
      <x:c r="R39" s="234"/>
      <x:c r="S39" s="234"/>
      <x:c r="T39" s="234"/>
      <x:c r="U39" s="234"/>
      <x:c r="V39" s="234"/>
      <x:c r="W39" s="234"/>
      <x:c r="X39" s="234"/>
      <x:c r="Y39" s="234"/>
      <x:c r="Z39" s="234"/>
    </x:row>
    <x:row r="40">
      <x:c r="A40" s="234"/>
      <x:c r="B40" s="234"/>
      <x:c r="C40" s="234"/>
      <x:c r="D40" s="234"/>
      <x:c r="E40" s="234"/>
      <x:c r="F40" s="234"/>
      <x:c r="G40" s="234"/>
      <x:c r="H40" s="234"/>
      <x:c r="I40" s="234"/>
      <x:c r="J40" s="234"/>
      <x:c r="K40" s="234"/>
      <x:c r="L40" s="234"/>
      <x:c r="M40" s="234"/>
      <x:c r="N40" s="234"/>
      <x:c r="O40" s="234"/>
      <x:c r="P40" s="234"/>
      <x:c r="Q40" s="234"/>
      <x:c r="R40" s="234"/>
      <x:c r="S40" s="234"/>
      <x:c r="T40" s="234"/>
      <x:c r="U40" s="234"/>
      <x:c r="V40" s="234"/>
      <x:c r="W40" s="234"/>
      <x:c r="X40" s="234"/>
      <x:c r="Y40" s="234"/>
      <x:c r="Z40" s="234"/>
    </x:row>
    <x:row r="41">
      <x:c r="A41" s="234"/>
      <x:c r="B41" s="234"/>
      <x:c r="C41" s="234"/>
      <x:c r="D41" s="234"/>
      <x:c r="E41" s="234"/>
      <x:c r="F41" s="234"/>
      <x:c r="G41" s="234"/>
      <x:c r="H41" s="234"/>
      <x:c r="I41" s="234"/>
      <x:c r="J41" s="234"/>
      <x:c r="K41" s="234"/>
      <x:c r="L41" s="234"/>
      <x:c r="M41" s="234"/>
      <x:c r="N41" s="234"/>
      <x:c r="O41" s="234"/>
      <x:c r="P41" s="234"/>
      <x:c r="Q41" s="234"/>
      <x:c r="R41" s="234"/>
      <x:c r="S41" s="234"/>
      <x:c r="T41" s="234"/>
      <x:c r="U41" s="234"/>
      <x:c r="V41" s="234"/>
      <x:c r="W41" s="234"/>
      <x:c r="X41" s="234"/>
      <x:c r="Y41" s="234"/>
      <x:c r="Z41" s="234"/>
    </x:row>
    <x:row r="42">
      <x:c r="A42" s="234"/>
      <x:c r="B42" s="234"/>
      <x:c r="C42" s="234"/>
      <x:c r="D42" s="234"/>
      <x:c r="E42" s="234"/>
      <x:c r="F42" s="234"/>
      <x:c r="G42" s="234"/>
      <x:c r="H42" s="234"/>
      <x:c r="I42" s="234"/>
      <x:c r="J42" s="234"/>
      <x:c r="K42" s="234"/>
      <x:c r="L42" s="234"/>
      <x:c r="M42" s="234"/>
      <x:c r="N42" s="234"/>
      <x:c r="O42" s="234"/>
      <x:c r="P42" s="234"/>
      <x:c r="Q42" s="234"/>
      <x:c r="R42" s="234"/>
      <x:c r="S42" s="234"/>
      <x:c r="T42" s="234"/>
      <x:c r="U42" s="234"/>
      <x:c r="V42" s="234"/>
      <x:c r="W42" s="234"/>
      <x:c r="X42" s="234"/>
      <x:c r="Y42" s="234"/>
      <x:c r="Z42" s="234"/>
    </x:row>
    <x:row r="43">
      <x:c r="A43" s="234"/>
      <x:c r="B43" s="234"/>
      <x:c r="C43" s="234"/>
      <x:c r="D43" s="234"/>
      <x:c r="E43" s="234"/>
      <x:c r="F43" s="234"/>
      <x:c r="G43" s="234"/>
      <x:c r="H43" s="234"/>
      <x:c r="I43" s="234"/>
      <x:c r="J43" s="234"/>
      <x:c r="K43" s="234"/>
      <x:c r="L43" s="234"/>
      <x:c r="M43" s="234"/>
      <x:c r="N43" s="234"/>
      <x:c r="O43" s="234"/>
      <x:c r="P43" s="234"/>
      <x:c r="Q43" s="234"/>
      <x:c r="R43" s="234"/>
      <x:c r="S43" s="234"/>
      <x:c r="T43" s="234"/>
      <x:c r="U43" s="234"/>
      <x:c r="V43" s="234"/>
      <x:c r="W43" s="234"/>
      <x:c r="X43" s="234"/>
      <x:c r="Y43" s="234"/>
      <x:c r="Z43" s="234"/>
    </x:row>
    <x:row r="44">
      <x:c r="A44" s="234"/>
      <x:c r="B44" s="234"/>
      <x:c r="C44" s="234"/>
      <x:c r="D44" s="234"/>
      <x:c r="E44" s="234"/>
      <x:c r="F44" s="234"/>
      <x:c r="G44" s="234"/>
      <x:c r="H44" s="234"/>
      <x:c r="I44" s="234"/>
      <x:c r="J44" s="234"/>
      <x:c r="K44" s="234"/>
      <x:c r="L44" s="234"/>
      <x:c r="M44" s="234"/>
      <x:c r="N44" s="234"/>
      <x:c r="O44" s="234"/>
      <x:c r="P44" s="234"/>
      <x:c r="Q44" s="234"/>
      <x:c r="R44" s="234"/>
      <x:c r="S44" s="234"/>
      <x:c r="T44" s="234"/>
      <x:c r="U44" s="234"/>
      <x:c r="V44" s="234"/>
      <x:c r="W44" s="234"/>
      <x:c r="X44" s="234"/>
      <x:c r="Y44" s="234"/>
      <x:c r="Z44" s="234"/>
    </x:row>
    <x:row r="45">
      <x:c r="A45" s="234"/>
      <x:c r="B45" s="234"/>
      <x:c r="C45" s="234"/>
      <x:c r="D45" s="234"/>
      <x:c r="E45" s="234"/>
      <x:c r="F45" s="234"/>
      <x:c r="G45" s="234"/>
      <x:c r="H45" s="234"/>
      <x:c r="I45" s="234"/>
      <x:c r="J45" s="234"/>
      <x:c r="K45" s="234"/>
      <x:c r="L45" s="234"/>
      <x:c r="M45" s="234"/>
      <x:c r="N45" s="234"/>
      <x:c r="O45" s="234"/>
      <x:c r="P45" s="234"/>
      <x:c r="Q45" s="234"/>
      <x:c r="R45" s="234"/>
      <x:c r="S45" s="234"/>
      <x:c r="T45" s="234"/>
      <x:c r="U45" s="234"/>
      <x:c r="V45" s="234"/>
      <x:c r="W45" s="234"/>
      <x:c r="X45" s="234"/>
      <x:c r="Y45" s="234"/>
      <x:c r="Z45" s="234"/>
    </x:row>
    <x:row r="46">
      <x:c r="A46" s="234"/>
      <x:c r="B46" s="234"/>
      <x:c r="C46" s="234"/>
      <x:c r="D46" s="234"/>
      <x:c r="E46" s="234"/>
      <x:c r="F46" s="234"/>
      <x:c r="G46" s="234"/>
      <x:c r="H46" s="234"/>
      <x:c r="I46" s="234"/>
      <x:c r="J46" s="234"/>
      <x:c r="K46" s="234"/>
      <x:c r="L46" s="234"/>
      <x:c r="M46" s="234"/>
      <x:c r="N46" s="234"/>
      <x:c r="O46" s="234"/>
      <x:c r="P46" s="234"/>
      <x:c r="Q46" s="234"/>
      <x:c r="R46" s="234"/>
      <x:c r="S46" s="234"/>
      <x:c r="T46" s="234"/>
      <x:c r="U46" s="234"/>
      <x:c r="V46" s="234"/>
      <x:c r="W46" s="234"/>
      <x:c r="X46" s="234"/>
      <x:c r="Y46" s="234"/>
      <x:c r="Z46" s="234"/>
    </x:row>
    <x:row r="47">
      <x:c r="A47" s="234"/>
      <x:c r="B47" s="234"/>
      <x:c r="C47" s="234"/>
      <x:c r="D47" s="234"/>
      <x:c r="E47" s="234"/>
      <x:c r="F47" s="234"/>
      <x:c r="G47" s="234"/>
      <x:c r="H47" s="234"/>
      <x:c r="I47" s="234"/>
      <x:c r="J47" s="234"/>
      <x:c r="K47" s="234"/>
      <x:c r="L47" s="234"/>
      <x:c r="M47" s="234"/>
      <x:c r="N47" s="234"/>
      <x:c r="O47" s="234"/>
      <x:c r="P47" s="234"/>
      <x:c r="Q47" s="234"/>
      <x:c r="R47" s="234"/>
      <x:c r="S47" s="234"/>
      <x:c r="T47" s="234"/>
      <x:c r="U47" s="234"/>
      <x:c r="V47" s="234"/>
      <x:c r="W47" s="234"/>
      <x:c r="X47" s="234"/>
      <x:c r="Y47" s="234"/>
      <x:c r="Z47" s="234"/>
    </x:row>
    <x:row r="48">
      <x:c r="A48" s="234"/>
      <x:c r="B48" s="234"/>
      <x:c r="C48" s="234"/>
      <x:c r="D48" s="234"/>
      <x:c r="E48" s="234"/>
      <x:c r="F48" s="234"/>
      <x:c r="G48" s="234"/>
      <x:c r="H48" s="234"/>
      <x:c r="I48" s="234"/>
      <x:c r="J48" s="234"/>
      <x:c r="K48" s="234"/>
      <x:c r="L48" s="234"/>
      <x:c r="M48" s="234"/>
      <x:c r="N48" s="234"/>
      <x:c r="O48" s="234"/>
      <x:c r="P48" s="234"/>
      <x:c r="Q48" s="234"/>
      <x:c r="R48" s="234"/>
      <x:c r="S48" s="234"/>
      <x:c r="T48" s="234"/>
      <x:c r="U48" s="234"/>
      <x:c r="V48" s="234"/>
      <x:c r="W48" s="234"/>
      <x:c r="X48" s="234"/>
      <x:c r="Y48" s="234"/>
      <x:c r="Z48" s="234"/>
    </x:row>
    <x:row r="49">
      <x:c r="A49" s="234"/>
      <x:c r="B49" s="234"/>
      <x:c r="C49" s="234"/>
      <x:c r="D49" s="234"/>
      <x:c r="E49" s="234"/>
      <x:c r="F49" s="234"/>
      <x:c r="G49" s="234"/>
      <x:c r="H49" s="234"/>
      <x:c r="I49" s="234"/>
      <x:c r="J49" s="234"/>
      <x:c r="K49" s="234"/>
      <x:c r="L49" s="234"/>
      <x:c r="M49" s="234"/>
      <x:c r="N49" s="234"/>
      <x:c r="O49" s="234"/>
      <x:c r="P49" s="234"/>
      <x:c r="Q49" s="234"/>
      <x:c r="R49" s="234"/>
      <x:c r="S49" s="234"/>
      <x:c r="T49" s="234"/>
      <x:c r="U49" s="234"/>
      <x:c r="V49" s="234"/>
      <x:c r="W49" s="234"/>
      <x:c r="X49" s="234"/>
      <x:c r="Y49" s="234"/>
      <x:c r="Z49" s="234"/>
    </x:row>
    <x:row r="50">
      <x:c r="A50" s="234"/>
      <x:c r="B50" s="234"/>
      <x:c r="C50" s="234"/>
      <x:c r="D50" s="234"/>
      <x:c r="E50" s="234"/>
      <x:c r="F50" s="234"/>
      <x:c r="G50" s="234"/>
      <x:c r="H50" s="234"/>
      <x:c r="I50" s="234"/>
      <x:c r="J50" s="234"/>
      <x:c r="K50" s="234"/>
      <x:c r="L50" s="234"/>
      <x:c r="M50" s="234"/>
      <x:c r="N50" s="234"/>
      <x:c r="O50" s="234"/>
      <x:c r="P50" s="234"/>
      <x:c r="Q50" s="234"/>
      <x:c r="R50" s="234"/>
      <x:c r="S50" s="234"/>
      <x:c r="T50" s="234"/>
      <x:c r="U50" s="234"/>
      <x:c r="V50" s="234"/>
      <x:c r="W50" s="234"/>
      <x:c r="X50" s="234"/>
      <x:c r="Y50" s="234"/>
      <x:c r="Z50" s="234"/>
    </x:row>
    <x:row r="51">
      <x:c r="A51" s="234"/>
      <x:c r="B51" s="234"/>
      <x:c r="C51" s="234"/>
      <x:c r="D51" s="234"/>
      <x:c r="E51" s="234"/>
      <x:c r="F51" s="234"/>
      <x:c r="G51" s="234"/>
      <x:c r="H51" s="234"/>
      <x:c r="I51" s="234"/>
      <x:c r="J51" s="234"/>
      <x:c r="K51" s="234"/>
      <x:c r="L51" s="234"/>
      <x:c r="M51" s="234"/>
      <x:c r="N51" s="234"/>
      <x:c r="O51" s="234"/>
      <x:c r="P51" s="234"/>
      <x:c r="Q51" s="234"/>
      <x:c r="R51" s="234"/>
      <x:c r="S51" s="234"/>
      <x:c r="T51" s="234"/>
      <x:c r="U51" s="234"/>
      <x:c r="V51" s="234"/>
      <x:c r="W51" s="234"/>
      <x:c r="X51" s="234"/>
      <x:c r="Y51" s="234"/>
      <x:c r="Z51" s="234"/>
    </x:row>
    <x:row r="52">
      <x:c r="A52" s="234"/>
      <x:c r="B52" s="234"/>
      <x:c r="C52" s="234"/>
      <x:c r="D52" s="234"/>
      <x:c r="E52" s="234"/>
      <x:c r="F52" s="234"/>
      <x:c r="G52" s="234"/>
      <x:c r="H52" s="234"/>
      <x:c r="I52" s="234"/>
      <x:c r="J52" s="234"/>
      <x:c r="K52" s="234"/>
      <x:c r="L52" s="234"/>
      <x:c r="M52" s="234"/>
      <x:c r="N52" s="234"/>
      <x:c r="O52" s="234"/>
      <x:c r="P52" s="234"/>
      <x:c r="Q52" s="234"/>
      <x:c r="R52" s="234"/>
      <x:c r="S52" s="234"/>
      <x:c r="T52" s="234"/>
      <x:c r="U52" s="234"/>
      <x:c r="V52" s="234"/>
      <x:c r="W52" s="234"/>
      <x:c r="X52" s="234"/>
      <x:c r="Y52" s="234"/>
      <x:c r="Z52" s="234"/>
    </x:row>
    <x:row r="53">
      <x:c r="A53" s="234"/>
      <x:c r="B53" s="234"/>
      <x:c r="C53" s="234"/>
      <x:c r="D53" s="234"/>
      <x:c r="E53" s="234"/>
      <x:c r="F53" s="234"/>
      <x:c r="G53" s="234"/>
      <x:c r="H53" s="234"/>
      <x:c r="I53" s="234"/>
      <x:c r="J53" s="234"/>
      <x:c r="K53" s="234"/>
      <x:c r="L53" s="234"/>
      <x:c r="M53" s="234"/>
      <x:c r="N53" s="234"/>
      <x:c r="O53" s="234"/>
      <x:c r="P53" s="234"/>
      <x:c r="Q53" s="234"/>
      <x:c r="R53" s="234"/>
      <x:c r="S53" s="234"/>
      <x:c r="T53" s="234"/>
      <x:c r="U53" s="234"/>
      <x:c r="V53" s="234"/>
      <x:c r="W53" s="234"/>
      <x:c r="X53" s="234"/>
      <x:c r="Y53" s="234"/>
      <x:c r="Z53" s="234"/>
    </x:row>
    <x:row r="54">
      <x:c r="A54" s="234"/>
      <x:c r="B54" s="234"/>
      <x:c r="C54" s="234"/>
      <x:c r="D54" s="234"/>
      <x:c r="E54" s="234"/>
      <x:c r="F54" s="234"/>
      <x:c r="G54" s="234"/>
      <x:c r="H54" s="234"/>
      <x:c r="I54" s="234"/>
      <x:c r="J54" s="234"/>
      <x:c r="K54" s="234"/>
      <x:c r="L54" s="234"/>
      <x:c r="M54" s="234"/>
      <x:c r="N54" s="234"/>
      <x:c r="O54" s="234"/>
      <x:c r="P54" s="234"/>
      <x:c r="Q54" s="234"/>
      <x:c r="R54" s="234"/>
      <x:c r="S54" s="234"/>
      <x:c r="T54" s="234"/>
      <x:c r="U54" s="234"/>
      <x:c r="V54" s="234"/>
      <x:c r="W54" s="234"/>
      <x:c r="X54" s="234"/>
      <x:c r="Y54" s="234"/>
      <x:c r="Z54" s="234"/>
    </x:row>
    <x:row r="55">
      <x:c r="A55" s="234"/>
      <x:c r="B55" s="234"/>
      <x:c r="C55" s="234"/>
      <x:c r="D55" s="234"/>
      <x:c r="E55" s="234"/>
      <x:c r="F55" s="234"/>
      <x:c r="G55" s="234"/>
      <x:c r="H55" s="234"/>
      <x:c r="I55" s="234"/>
      <x:c r="J55" s="234"/>
      <x:c r="K55" s="234"/>
      <x:c r="L55" s="234"/>
      <x:c r="M55" s="234"/>
      <x:c r="N55" s="234"/>
      <x:c r="O55" s="234"/>
      <x:c r="P55" s="234"/>
      <x:c r="Q55" s="234"/>
      <x:c r="R55" s="234"/>
      <x:c r="S55" s="234"/>
      <x:c r="T55" s="234"/>
      <x:c r="U55" s="234"/>
      <x:c r="V55" s="234"/>
      <x:c r="W55" s="234"/>
      <x:c r="X55" s="234"/>
      <x:c r="Y55" s="234"/>
      <x:c r="Z55" s="234"/>
    </x:row>
    <x:row r="56">
      <x:c r="A56" s="234"/>
      <x:c r="B56" s="234"/>
      <x:c r="C56" s="234"/>
      <x:c r="D56" s="234"/>
      <x:c r="E56" s="234"/>
      <x:c r="F56" s="234"/>
      <x:c r="G56" s="234"/>
      <x:c r="H56" s="234"/>
      <x:c r="I56" s="234"/>
      <x:c r="J56" s="234"/>
      <x:c r="K56" s="234"/>
      <x:c r="L56" s="234"/>
      <x:c r="M56" s="234"/>
      <x:c r="N56" s="234"/>
      <x:c r="O56" s="234"/>
      <x:c r="P56" s="234"/>
      <x:c r="Q56" s="234"/>
      <x:c r="R56" s="234"/>
      <x:c r="S56" s="234"/>
      <x:c r="T56" s="234"/>
      <x:c r="U56" s="234"/>
      <x:c r="V56" s="234"/>
      <x:c r="W56" s="234"/>
      <x:c r="X56" s="234"/>
      <x:c r="Y56" s="234"/>
      <x:c r="Z56" s="234"/>
    </x:row>
    <x:row r="57">
      <x:c r="A57" s="234"/>
      <x:c r="B57" s="234"/>
      <x:c r="C57" s="234"/>
      <x:c r="D57" s="234"/>
      <x:c r="E57" s="234"/>
      <x:c r="F57" s="234"/>
      <x:c r="G57" s="234"/>
      <x:c r="H57" s="234"/>
      <x:c r="I57" s="234"/>
      <x:c r="J57" s="234"/>
      <x:c r="K57" s="234"/>
      <x:c r="L57" s="234"/>
      <x:c r="M57" s="234"/>
      <x:c r="N57" s="234"/>
      <x:c r="O57" s="234"/>
      <x:c r="P57" s="234"/>
      <x:c r="Q57" s="234"/>
      <x:c r="R57" s="234"/>
      <x:c r="S57" s="234"/>
      <x:c r="T57" s="234"/>
      <x:c r="U57" s="234"/>
      <x:c r="V57" s="234"/>
      <x:c r="W57" s="234"/>
      <x:c r="X57" s="234"/>
      <x:c r="Y57" s="234"/>
      <x:c r="Z57" s="234"/>
    </x:row>
    <x:row r="58">
      <x:c r="A58" s="234"/>
      <x:c r="B58" s="234"/>
      <x:c r="C58" s="234"/>
      <x:c r="D58" s="234"/>
      <x:c r="E58" s="234"/>
      <x:c r="F58" s="234"/>
      <x:c r="G58" s="234"/>
      <x:c r="H58" s="234"/>
      <x:c r="I58" s="234"/>
      <x:c r="J58" s="234"/>
      <x:c r="K58" s="234"/>
      <x:c r="L58" s="234"/>
      <x:c r="M58" s="234"/>
      <x:c r="N58" s="234"/>
      <x:c r="O58" s="234"/>
      <x:c r="P58" s="234"/>
      <x:c r="Q58" s="234"/>
      <x:c r="R58" s="234"/>
      <x:c r="S58" s="234"/>
      <x:c r="T58" s="234"/>
      <x:c r="U58" s="234"/>
      <x:c r="V58" s="234"/>
      <x:c r="W58" s="234"/>
      <x:c r="X58" s="234"/>
      <x:c r="Y58" s="234"/>
      <x:c r="Z58" s="234"/>
    </x:row>
    <x:row r="59">
      <x:c r="A59" s="234"/>
      <x:c r="B59" s="234"/>
      <x:c r="C59" s="234"/>
      <x:c r="D59" s="234"/>
      <x:c r="E59" s="234"/>
      <x:c r="F59" s="234"/>
      <x:c r="G59" s="234"/>
      <x:c r="H59" s="234"/>
      <x:c r="I59" s="234"/>
      <x:c r="J59" s="234"/>
      <x:c r="K59" s="234"/>
      <x:c r="L59" s="234"/>
      <x:c r="M59" s="234"/>
      <x:c r="N59" s="234"/>
      <x:c r="O59" s="234"/>
      <x:c r="P59" s="234"/>
      <x:c r="Q59" s="234"/>
      <x:c r="R59" s="234"/>
      <x:c r="S59" s="234"/>
      <x:c r="T59" s="234"/>
      <x:c r="U59" s="234"/>
      <x:c r="V59" s="234"/>
      <x:c r="W59" s="234"/>
      <x:c r="X59" s="234"/>
      <x:c r="Y59" s="234"/>
      <x:c r="Z59" s="234"/>
    </x:row>
    <x:row r="60">
      <x:c r="A60" s="234"/>
      <x:c r="B60" s="234"/>
      <x:c r="C60" s="234"/>
      <x:c r="D60" s="234"/>
      <x:c r="E60" s="234"/>
      <x:c r="F60" s="234"/>
      <x:c r="G60" s="234"/>
      <x:c r="H60" s="234"/>
      <x:c r="I60" s="234"/>
      <x:c r="J60" s="234"/>
      <x:c r="K60" s="234"/>
      <x:c r="L60" s="234"/>
      <x:c r="M60" s="234"/>
      <x:c r="N60" s="234"/>
      <x:c r="O60" s="234"/>
      <x:c r="P60" s="234"/>
      <x:c r="Q60" s="234"/>
      <x:c r="R60" s="234"/>
      <x:c r="S60" s="234"/>
      <x:c r="T60" s="234"/>
      <x:c r="U60" s="234"/>
      <x:c r="V60" s="234"/>
      <x:c r="W60" s="234"/>
      <x:c r="X60" s="234"/>
      <x:c r="Y60" s="234"/>
      <x:c r="Z60" s="234"/>
    </x:row>
  </x:sheetData>
  <x:mergeCells>
    <x:mergeCell ref="A1:H1"/>
    <x:mergeCell ref="A4:H4"/>
    <x:mergeCell ref="A6:H6"/>
    <x:mergeCell ref="A13:H13"/>
    <x:mergeCell ref="A21:H21"/>
    <x:mergeCell ref="A23:B23"/>
    <x:mergeCell ref="C23:E23"/>
    <x:mergeCell ref="F23:H23"/>
    <x:mergeCell ref="A24:B24"/>
    <x:mergeCell ref="C24:E24"/>
    <x:mergeCell ref="F24:H24"/>
    <x:mergeCell ref="A25:B25"/>
    <x:mergeCell ref="C25:E25"/>
    <x:mergeCell ref="F25:H25"/>
    <x:mergeCell ref="A26:B26"/>
    <x:mergeCell ref="C26:E26"/>
    <x:mergeCell ref="F26:H26"/>
    <x:mergeCell ref="A27:B27"/>
    <x:mergeCell ref="C27:E27"/>
    <x:mergeCell ref="F27:H27"/>
    <x:mergeCell ref="A22:B22"/>
    <x:mergeCell ref="C22:E22"/>
    <x:mergeCell ref="F22:H22"/>
  </x:mergeCells>
  <x:pageMargins left="0.7" right="0.7" top="0.75" bottom="0.75" header="0.3" footer="0.3"/>
  <x:drawing xmlns:r="http://schemas.openxmlformats.org/officeDocument/2006/relationships" r:id="Rad325887f94e4232"/>
</x:worksheet>
</file>